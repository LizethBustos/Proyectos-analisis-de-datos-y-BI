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6.xml" ContentType="application/vnd.openxmlformats-officedocument.drawing+xml"/>
  <Override PartName="/xl/pivotTables/pivotTable8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8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ER\Desktop\Diplomado Excel\"/>
    </mc:Choice>
  </mc:AlternateContent>
  <xr:revisionPtr revIDLastSave="0" documentId="13_ncr:1_{5643BC2E-ACB6-4E43-93DC-C1D183FDDA3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icio" sheetId="1" r:id="rId1"/>
    <sheet name="Calendario" sheetId="10" r:id="rId2"/>
    <sheet name="Clientes" sheetId="11" r:id="rId3"/>
    <sheet name="Ventas" sheetId="12" r:id="rId4"/>
    <sheet name="Sucursales" sheetId="13" r:id="rId5"/>
    <sheet name="Productos" sheetId="14" r:id="rId6"/>
    <sheet name="Tablas dinámicas" sheetId="3" r:id="rId7"/>
    <sheet name="KPI" sheetId="15" r:id="rId8"/>
    <sheet name="Reporte Estadictico" sheetId="17" r:id="rId9"/>
    <sheet name="Dashboard" sheetId="4" r:id="rId10"/>
  </sheets>
  <definedNames>
    <definedName name="_xlchart.v1.0" hidden="1">Ventas!$J$9:$J$1008</definedName>
    <definedName name="_xlchart.v1.1" hidden="1">Ventas!$H$9:$H$1008</definedName>
    <definedName name="_xlcn.WorksheetConnection_DashboardLizethBustos.xlsxcalendario1" hidden="1">calendario[]</definedName>
    <definedName name="_xlcn.WorksheetConnection_DashboardLizethBustos.xlsxclientes1" hidden="1">clientes[]</definedName>
    <definedName name="_xlcn.WorksheetConnection_DashboardLizethBustos.xlsxproductos1" hidden="1">productos[]</definedName>
    <definedName name="_xlcn.WorksheetConnection_DashboardLizethBustos.xlsxsucursales1" hidden="1">sucursales[]</definedName>
    <definedName name="_xlcn.WorksheetConnection_DashboardLizethBustos.xlsxventas1" hidden="1">ventas[]</definedName>
    <definedName name="Abarrotes">KPI!$C$40</definedName>
    <definedName name="Bebidas">KPI!$C$41</definedName>
    <definedName name="Carnes">KPI!$C$42</definedName>
    <definedName name="cat">KPI!$B$40:$B$44</definedName>
    <definedName name="categorias">KPI!$B$40:$B$44</definedName>
    <definedName name="Categorías">KPI!$B$40:$B$44</definedName>
    <definedName name="DatosExternos_1" localSheetId="1" hidden="1">'Calendario'!$A$1:$F$366</definedName>
    <definedName name="DatosExternos_1" localSheetId="2" hidden="1">'Clientes'!$A$8:$D$208</definedName>
    <definedName name="DatosExternos_1" localSheetId="5" hidden="1">Productos!$A$8:$D$28</definedName>
    <definedName name="DatosExternos_1" localSheetId="4" hidden="1">Sucursales!$A$8:$C$11</definedName>
    <definedName name="DatosExternos_1" localSheetId="3" hidden="1">Ventas!$A$8:$J$1008</definedName>
    <definedName name="DETECTOR">INDEX(img,MATCH(KPI!$E$40,cat,0))</definedName>
    <definedName name="DETECTOR2">INDEX(img,MATCH(Dashboard!$L$15,cat,0))</definedName>
    <definedName name="imcateg">KPI!$C$40:$C$44</definedName>
    <definedName name="img">KPI!$C$40:$C$44</definedName>
    <definedName name="Lácteos">KPI!$C$43</definedName>
    <definedName name="Limpieza">KPI!$C$44</definedName>
    <definedName name="SegmentaciónDeDatos_Categoría">#N/A</definedName>
    <definedName name="SegmentaciónDeDatos_Nombre_Sucursal">#N/A</definedName>
    <definedName name="SegmentaciónDeDatos_Trimestre">#N/A</definedName>
  </definedNames>
  <calcPr calcId="191029"/>
  <pivotCaches>
    <pivotCache cacheId="0" r:id="rId11"/>
    <pivotCache cacheId="1" r:id="rId12"/>
    <pivotCache cacheId="150" r:id="rId13"/>
    <pivotCache cacheId="153" r:id="rId14"/>
    <pivotCache cacheId="166" r:id="rId15"/>
    <pivotCache cacheId="168" r:id="rId16"/>
    <pivotCache cacheId="164" r:id="rId17"/>
    <pivotCache cacheId="171" r:id="rId18"/>
  </pivotCaches>
  <extLst>
    <ext xmlns:x14="http://schemas.microsoft.com/office/spreadsheetml/2009/9/main" uri="{876F7934-8845-4945-9796-88D515C7AA90}">
      <x14:pivotCaches>
        <pivotCache cacheId="8" r:id="rId19"/>
        <pivotCache cacheId="9" r:id="rId20"/>
      </x14:pivotCaches>
    </ext>
    <ext xmlns:x14="http://schemas.microsoft.com/office/spreadsheetml/2009/9/main" uri="{BBE1A952-AA13-448e-AADC-164F8A28A991}">
      <x14:slicerCaches>
        <x14:slicerCache r:id="rId21"/>
        <x14:slicerCache r:id="rId22"/>
        <x14:slicerCache r:id="rId2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FCE2AD5D-F65C-4FA6-A056-5C36A1767C68}">
      <x15:dataModel>
        <x15:modelTables>
          <x15:modelTable id="ventas" name="ventas" connection="WorksheetConnection_Dashboard Lizeth Bustos.xlsx!ventas"/>
          <x15:modelTable id="sucursales" name="sucursales" connection="WorksheetConnection_Dashboard Lizeth Bustos.xlsx!sucursales"/>
          <x15:modelTable id="productos" name="productos" connection="WorksheetConnection_Dashboard Lizeth Bustos.xlsx!productos"/>
          <x15:modelTable id="clientes" name="clientes" connection="WorksheetConnection_Dashboard Lizeth Bustos.xlsx!clientes"/>
          <x15:modelTable id="calendario" name="calendario" connection="WorksheetConnection_Dashboard Lizeth Bustos.xlsx!calendario"/>
        </x15:modelTables>
        <x15:modelRelationships>
          <x15:modelRelationship fromTable="ventas" fromColumn="Fecha" toTable="calendario" toColumn="Fecha"/>
          <x15:modelRelationship fromTable="ventas" fromColumn="ID Producto" toTable="productos" toColumn="ID Producto"/>
          <x15:modelRelationship fromTable="ventas" fromColumn="ID Sucursal" toTable="sucursales" toColumn="ID Sucursal"/>
          <x15:modelRelationship fromTable="ventas" fromColumn="ID Cliente" toTable="clientes" toColumn="ID Client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calendario" columnName="Fecha" columnId="Fecha">
                <x16:calculatedTimeColumn columnName="Fecha (índice de meses)" columnId="Fecha (índice de meses)" contentType="monthsindex" isSelected="1"/>
                <x16:calculatedTimeColumn columnName="Fecha (mes)" columnId="Fecha (me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4" l="1" a="1"/>
  <c r="B14" i="4" s="1"/>
  <c r="C13" i="4" s="1"/>
  <c r="L15" i="4" l="1"/>
  <c r="E9" i="12" l="1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70" i="12"/>
  <c r="E171" i="12"/>
  <c r="E172" i="12"/>
  <c r="E173" i="12"/>
  <c r="E174" i="12"/>
  <c r="E175" i="12"/>
  <c r="E176" i="12"/>
  <c r="E177" i="12"/>
  <c r="E178" i="12"/>
  <c r="E179" i="12"/>
  <c r="E180" i="12"/>
  <c r="E181" i="12"/>
  <c r="E182" i="12"/>
  <c r="E183" i="12"/>
  <c r="E184" i="12"/>
  <c r="E185" i="12"/>
  <c r="E186" i="12"/>
  <c r="E187" i="12"/>
  <c r="E188" i="12"/>
  <c r="E189" i="12"/>
  <c r="E190" i="12"/>
  <c r="E191" i="12"/>
  <c r="E192" i="12"/>
  <c r="E193" i="12"/>
  <c r="E194" i="12"/>
  <c r="E195" i="12"/>
  <c r="E196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4" i="12"/>
  <c r="E215" i="12"/>
  <c r="E216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0" i="12"/>
  <c r="E241" i="12"/>
  <c r="E242" i="12"/>
  <c r="E243" i="12"/>
  <c r="E244" i="12"/>
  <c r="E245" i="12"/>
  <c r="E246" i="12"/>
  <c r="E247" i="12"/>
  <c r="E248" i="12"/>
  <c r="E249" i="12"/>
  <c r="E250" i="12"/>
  <c r="E251" i="12"/>
  <c r="E252" i="12"/>
  <c r="E253" i="12"/>
  <c r="E254" i="12"/>
  <c r="E255" i="12"/>
  <c r="E256" i="12"/>
  <c r="E257" i="12"/>
  <c r="E258" i="12"/>
  <c r="E259" i="12"/>
  <c r="E260" i="12"/>
  <c r="E261" i="12"/>
  <c r="E262" i="12"/>
  <c r="E263" i="12"/>
  <c r="E264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E361" i="12"/>
  <c r="E362" i="12"/>
  <c r="E363" i="12"/>
  <c r="E364" i="12"/>
  <c r="E365" i="12"/>
  <c r="E366" i="12"/>
  <c r="E367" i="12"/>
  <c r="E368" i="12"/>
  <c r="E369" i="12"/>
  <c r="E370" i="12"/>
  <c r="E371" i="12"/>
  <c r="E372" i="12"/>
  <c r="E373" i="12"/>
  <c r="E374" i="12"/>
  <c r="E375" i="12"/>
  <c r="E376" i="12"/>
  <c r="E377" i="12"/>
  <c r="E378" i="12"/>
  <c r="E379" i="12"/>
  <c r="E380" i="12"/>
  <c r="E381" i="12"/>
  <c r="E382" i="12"/>
  <c r="E383" i="12"/>
  <c r="E384" i="12"/>
  <c r="E385" i="12"/>
  <c r="E386" i="12"/>
  <c r="E387" i="12"/>
  <c r="E388" i="12"/>
  <c r="E389" i="12"/>
  <c r="E390" i="12"/>
  <c r="E391" i="12"/>
  <c r="E392" i="12"/>
  <c r="E393" i="12"/>
  <c r="E394" i="12"/>
  <c r="E395" i="12"/>
  <c r="E396" i="12"/>
  <c r="E397" i="12"/>
  <c r="E398" i="12"/>
  <c r="E399" i="12"/>
  <c r="E400" i="12"/>
  <c r="E401" i="12"/>
  <c r="E402" i="12"/>
  <c r="E403" i="12"/>
  <c r="E404" i="12"/>
  <c r="E405" i="12"/>
  <c r="E406" i="12"/>
  <c r="E407" i="12"/>
  <c r="E408" i="12"/>
  <c r="E409" i="12"/>
  <c r="E410" i="12"/>
  <c r="E411" i="12"/>
  <c r="E412" i="12"/>
  <c r="E413" i="12"/>
  <c r="E414" i="12"/>
  <c r="E415" i="12"/>
  <c r="E416" i="12"/>
  <c r="E417" i="12"/>
  <c r="E418" i="12"/>
  <c r="E419" i="12"/>
  <c r="E420" i="12"/>
  <c r="E421" i="12"/>
  <c r="E422" i="12"/>
  <c r="E423" i="12"/>
  <c r="E424" i="12"/>
  <c r="E425" i="12"/>
  <c r="E426" i="12"/>
  <c r="E427" i="12"/>
  <c r="E428" i="12"/>
  <c r="E429" i="12"/>
  <c r="E430" i="12"/>
  <c r="E431" i="12"/>
  <c r="E432" i="12"/>
  <c r="E433" i="12"/>
  <c r="E434" i="12"/>
  <c r="E435" i="12"/>
  <c r="E436" i="12"/>
  <c r="E437" i="12"/>
  <c r="E438" i="12"/>
  <c r="E439" i="12"/>
  <c r="E440" i="12"/>
  <c r="E441" i="12"/>
  <c r="E442" i="12"/>
  <c r="E443" i="12"/>
  <c r="E444" i="12"/>
  <c r="E445" i="12"/>
  <c r="E446" i="12"/>
  <c r="E447" i="12"/>
  <c r="E448" i="12"/>
  <c r="E449" i="12"/>
  <c r="E450" i="12"/>
  <c r="E451" i="12"/>
  <c r="E452" i="12"/>
  <c r="E453" i="12"/>
  <c r="E454" i="12"/>
  <c r="E455" i="12"/>
  <c r="E456" i="12"/>
  <c r="E457" i="12"/>
  <c r="E458" i="12"/>
  <c r="E459" i="12"/>
  <c r="E460" i="12"/>
  <c r="E461" i="12"/>
  <c r="E462" i="12"/>
  <c r="E463" i="12"/>
  <c r="E464" i="12"/>
  <c r="E465" i="12"/>
  <c r="E466" i="12"/>
  <c r="E467" i="12"/>
  <c r="E468" i="12"/>
  <c r="E469" i="12"/>
  <c r="E470" i="12"/>
  <c r="E471" i="12"/>
  <c r="E472" i="12"/>
  <c r="E473" i="12"/>
  <c r="E474" i="12"/>
  <c r="E475" i="12"/>
  <c r="E476" i="12"/>
  <c r="E477" i="12"/>
  <c r="E478" i="12"/>
  <c r="E479" i="12"/>
  <c r="E480" i="12"/>
  <c r="E481" i="12"/>
  <c r="E482" i="12"/>
  <c r="E483" i="12"/>
  <c r="E484" i="12"/>
  <c r="E485" i="12"/>
  <c r="E486" i="12"/>
  <c r="E487" i="12"/>
  <c r="E488" i="12"/>
  <c r="E489" i="12"/>
  <c r="E490" i="12"/>
  <c r="E491" i="12"/>
  <c r="E492" i="12"/>
  <c r="E493" i="12"/>
  <c r="E494" i="12"/>
  <c r="E495" i="12"/>
  <c r="E496" i="12"/>
  <c r="E497" i="12"/>
  <c r="E498" i="12"/>
  <c r="E499" i="12"/>
  <c r="E500" i="12"/>
  <c r="E501" i="12"/>
  <c r="E502" i="12"/>
  <c r="E503" i="12"/>
  <c r="E504" i="12"/>
  <c r="E505" i="12"/>
  <c r="E506" i="12"/>
  <c r="E507" i="12"/>
  <c r="E508" i="12"/>
  <c r="E509" i="12"/>
  <c r="E510" i="12"/>
  <c r="E511" i="12"/>
  <c r="E512" i="12"/>
  <c r="E513" i="12"/>
  <c r="E514" i="12"/>
  <c r="E515" i="12"/>
  <c r="E516" i="12"/>
  <c r="E517" i="12"/>
  <c r="E518" i="12"/>
  <c r="E519" i="12"/>
  <c r="E520" i="12"/>
  <c r="E521" i="12"/>
  <c r="E522" i="12"/>
  <c r="E523" i="12"/>
  <c r="E524" i="12"/>
  <c r="E525" i="12"/>
  <c r="E526" i="12"/>
  <c r="E527" i="12"/>
  <c r="E528" i="12"/>
  <c r="E529" i="12"/>
  <c r="E530" i="12"/>
  <c r="E531" i="12"/>
  <c r="E532" i="12"/>
  <c r="E533" i="12"/>
  <c r="E534" i="12"/>
  <c r="E535" i="12"/>
  <c r="E536" i="12"/>
  <c r="E537" i="12"/>
  <c r="E538" i="12"/>
  <c r="E539" i="12"/>
  <c r="E540" i="12"/>
  <c r="E541" i="12"/>
  <c r="E542" i="12"/>
  <c r="E543" i="12"/>
  <c r="E544" i="12"/>
  <c r="E545" i="12"/>
  <c r="E546" i="12"/>
  <c r="E547" i="12"/>
  <c r="E548" i="12"/>
  <c r="E549" i="12"/>
  <c r="E550" i="12"/>
  <c r="E551" i="12"/>
  <c r="E552" i="12"/>
  <c r="E553" i="12"/>
  <c r="E554" i="12"/>
  <c r="E555" i="12"/>
  <c r="E556" i="12"/>
  <c r="E557" i="12"/>
  <c r="E558" i="12"/>
  <c r="E559" i="12"/>
  <c r="E560" i="12"/>
  <c r="E561" i="12"/>
  <c r="E562" i="12"/>
  <c r="E563" i="12"/>
  <c r="E564" i="12"/>
  <c r="E565" i="12"/>
  <c r="E566" i="12"/>
  <c r="E567" i="12"/>
  <c r="E568" i="12"/>
  <c r="E569" i="12"/>
  <c r="E570" i="12"/>
  <c r="E571" i="12"/>
  <c r="E572" i="12"/>
  <c r="E573" i="12"/>
  <c r="E574" i="12"/>
  <c r="E575" i="12"/>
  <c r="E576" i="12"/>
  <c r="E577" i="12"/>
  <c r="E578" i="12"/>
  <c r="E579" i="12"/>
  <c r="E580" i="12"/>
  <c r="E581" i="12"/>
  <c r="E582" i="12"/>
  <c r="E583" i="12"/>
  <c r="E584" i="12"/>
  <c r="E585" i="12"/>
  <c r="E586" i="12"/>
  <c r="E587" i="12"/>
  <c r="E588" i="12"/>
  <c r="E589" i="12"/>
  <c r="E590" i="12"/>
  <c r="E591" i="12"/>
  <c r="E592" i="12"/>
  <c r="E593" i="12"/>
  <c r="E594" i="12"/>
  <c r="E595" i="12"/>
  <c r="E596" i="12"/>
  <c r="E597" i="12"/>
  <c r="E598" i="12"/>
  <c r="E599" i="12"/>
  <c r="E600" i="12"/>
  <c r="E601" i="12"/>
  <c r="E602" i="12"/>
  <c r="E603" i="12"/>
  <c r="E604" i="12"/>
  <c r="E605" i="12"/>
  <c r="E606" i="12"/>
  <c r="E607" i="12"/>
  <c r="E608" i="12"/>
  <c r="E609" i="12"/>
  <c r="E610" i="12"/>
  <c r="E611" i="12"/>
  <c r="E612" i="12"/>
  <c r="E613" i="12"/>
  <c r="E614" i="12"/>
  <c r="E615" i="12"/>
  <c r="E616" i="12"/>
  <c r="E617" i="12"/>
  <c r="E618" i="12"/>
  <c r="E619" i="12"/>
  <c r="E620" i="12"/>
  <c r="E621" i="12"/>
  <c r="E622" i="12"/>
  <c r="E623" i="12"/>
  <c r="E624" i="12"/>
  <c r="E625" i="12"/>
  <c r="E626" i="12"/>
  <c r="E627" i="12"/>
  <c r="E628" i="12"/>
  <c r="E629" i="12"/>
  <c r="E630" i="12"/>
  <c r="E631" i="12"/>
  <c r="E632" i="12"/>
  <c r="E633" i="12"/>
  <c r="E634" i="12"/>
  <c r="E635" i="12"/>
  <c r="E636" i="12"/>
  <c r="E637" i="12"/>
  <c r="E638" i="12"/>
  <c r="E639" i="12"/>
  <c r="E640" i="12"/>
  <c r="E641" i="12"/>
  <c r="E642" i="12"/>
  <c r="E643" i="12"/>
  <c r="E644" i="12"/>
  <c r="E645" i="12"/>
  <c r="E646" i="12"/>
  <c r="E647" i="12"/>
  <c r="E648" i="12"/>
  <c r="E649" i="12"/>
  <c r="E650" i="12"/>
  <c r="E651" i="12"/>
  <c r="E652" i="12"/>
  <c r="E653" i="12"/>
  <c r="E654" i="12"/>
  <c r="E655" i="12"/>
  <c r="E656" i="12"/>
  <c r="E657" i="12"/>
  <c r="E658" i="12"/>
  <c r="E659" i="12"/>
  <c r="E660" i="12"/>
  <c r="E661" i="12"/>
  <c r="E662" i="12"/>
  <c r="E663" i="12"/>
  <c r="E664" i="12"/>
  <c r="E665" i="12"/>
  <c r="E666" i="12"/>
  <c r="E667" i="12"/>
  <c r="E668" i="12"/>
  <c r="E669" i="12"/>
  <c r="E670" i="12"/>
  <c r="E671" i="12"/>
  <c r="E672" i="12"/>
  <c r="E673" i="12"/>
  <c r="E674" i="12"/>
  <c r="E675" i="12"/>
  <c r="E676" i="12"/>
  <c r="E677" i="12"/>
  <c r="E678" i="12"/>
  <c r="E679" i="12"/>
  <c r="E680" i="12"/>
  <c r="E681" i="12"/>
  <c r="E682" i="12"/>
  <c r="E683" i="12"/>
  <c r="E684" i="12"/>
  <c r="E685" i="12"/>
  <c r="E686" i="12"/>
  <c r="E687" i="12"/>
  <c r="E688" i="12"/>
  <c r="E689" i="12"/>
  <c r="E690" i="12"/>
  <c r="E691" i="12"/>
  <c r="E692" i="12"/>
  <c r="E693" i="12"/>
  <c r="E694" i="12"/>
  <c r="E695" i="12"/>
  <c r="E696" i="12"/>
  <c r="E697" i="12"/>
  <c r="E698" i="12"/>
  <c r="E699" i="12"/>
  <c r="E700" i="12"/>
  <c r="E701" i="12"/>
  <c r="E702" i="12"/>
  <c r="E703" i="12"/>
  <c r="E704" i="12"/>
  <c r="E705" i="12"/>
  <c r="E706" i="12"/>
  <c r="E707" i="12"/>
  <c r="E708" i="12"/>
  <c r="E709" i="12"/>
  <c r="E710" i="12"/>
  <c r="E711" i="12"/>
  <c r="E712" i="12"/>
  <c r="E713" i="12"/>
  <c r="E714" i="12"/>
  <c r="E715" i="12"/>
  <c r="E716" i="12"/>
  <c r="E717" i="12"/>
  <c r="E718" i="12"/>
  <c r="E719" i="12"/>
  <c r="E720" i="12"/>
  <c r="E721" i="12"/>
  <c r="E722" i="12"/>
  <c r="E723" i="12"/>
  <c r="E724" i="12"/>
  <c r="E725" i="12"/>
  <c r="E726" i="12"/>
  <c r="E727" i="12"/>
  <c r="E728" i="12"/>
  <c r="E729" i="12"/>
  <c r="E730" i="12"/>
  <c r="E731" i="12"/>
  <c r="E732" i="12"/>
  <c r="E733" i="12"/>
  <c r="E734" i="12"/>
  <c r="E735" i="12"/>
  <c r="E736" i="12"/>
  <c r="E737" i="12"/>
  <c r="E738" i="12"/>
  <c r="E739" i="12"/>
  <c r="E740" i="12"/>
  <c r="E741" i="12"/>
  <c r="E742" i="12"/>
  <c r="E743" i="12"/>
  <c r="E744" i="12"/>
  <c r="E745" i="12"/>
  <c r="E746" i="12"/>
  <c r="E747" i="12"/>
  <c r="E748" i="12"/>
  <c r="E749" i="12"/>
  <c r="E750" i="12"/>
  <c r="E751" i="12"/>
  <c r="E752" i="12"/>
  <c r="E753" i="12"/>
  <c r="E754" i="12"/>
  <c r="E755" i="12"/>
  <c r="E756" i="12"/>
  <c r="E757" i="12"/>
  <c r="E758" i="12"/>
  <c r="E759" i="12"/>
  <c r="E760" i="12"/>
  <c r="E761" i="12"/>
  <c r="E762" i="12"/>
  <c r="E763" i="12"/>
  <c r="E764" i="12"/>
  <c r="E765" i="12"/>
  <c r="E766" i="12"/>
  <c r="E767" i="12"/>
  <c r="E768" i="12"/>
  <c r="E769" i="12"/>
  <c r="E770" i="12"/>
  <c r="E771" i="12"/>
  <c r="E772" i="12"/>
  <c r="E773" i="12"/>
  <c r="E774" i="12"/>
  <c r="E775" i="12"/>
  <c r="E776" i="12"/>
  <c r="E777" i="12"/>
  <c r="E778" i="12"/>
  <c r="E779" i="12"/>
  <c r="E780" i="12"/>
  <c r="E781" i="12"/>
  <c r="E782" i="12"/>
  <c r="E783" i="12"/>
  <c r="E784" i="12"/>
  <c r="E785" i="12"/>
  <c r="E786" i="12"/>
  <c r="E787" i="12"/>
  <c r="E788" i="12"/>
  <c r="E789" i="12"/>
  <c r="E790" i="12"/>
  <c r="E791" i="12"/>
  <c r="E792" i="12"/>
  <c r="E793" i="12"/>
  <c r="E794" i="12"/>
  <c r="E795" i="12"/>
  <c r="E796" i="12"/>
  <c r="E797" i="12"/>
  <c r="E798" i="12"/>
  <c r="E799" i="12"/>
  <c r="E800" i="12"/>
  <c r="E801" i="12"/>
  <c r="E802" i="12"/>
  <c r="E803" i="12"/>
  <c r="E804" i="12"/>
  <c r="E805" i="12"/>
  <c r="E806" i="12"/>
  <c r="E807" i="12"/>
  <c r="E808" i="12"/>
  <c r="E809" i="12"/>
  <c r="E810" i="12"/>
  <c r="E811" i="12"/>
  <c r="E812" i="12"/>
  <c r="E813" i="12"/>
  <c r="E814" i="12"/>
  <c r="E815" i="12"/>
  <c r="E816" i="12"/>
  <c r="E817" i="12"/>
  <c r="E818" i="12"/>
  <c r="E819" i="12"/>
  <c r="E820" i="12"/>
  <c r="E821" i="12"/>
  <c r="E822" i="12"/>
  <c r="E823" i="12"/>
  <c r="E824" i="12"/>
  <c r="E825" i="12"/>
  <c r="E826" i="12"/>
  <c r="E827" i="12"/>
  <c r="E828" i="12"/>
  <c r="E829" i="12"/>
  <c r="E830" i="12"/>
  <c r="E831" i="12"/>
  <c r="E832" i="12"/>
  <c r="E833" i="12"/>
  <c r="E834" i="12"/>
  <c r="E835" i="12"/>
  <c r="E836" i="12"/>
  <c r="E837" i="12"/>
  <c r="E838" i="12"/>
  <c r="E839" i="12"/>
  <c r="E840" i="12"/>
  <c r="E841" i="12"/>
  <c r="E842" i="12"/>
  <c r="E843" i="12"/>
  <c r="E844" i="12"/>
  <c r="E845" i="12"/>
  <c r="E846" i="12"/>
  <c r="E847" i="12"/>
  <c r="E848" i="12"/>
  <c r="E849" i="12"/>
  <c r="E850" i="12"/>
  <c r="E851" i="12"/>
  <c r="E852" i="12"/>
  <c r="E853" i="12"/>
  <c r="E854" i="12"/>
  <c r="E855" i="12"/>
  <c r="E856" i="12"/>
  <c r="E857" i="12"/>
  <c r="E858" i="12"/>
  <c r="E859" i="12"/>
  <c r="E860" i="12"/>
  <c r="E861" i="12"/>
  <c r="E862" i="12"/>
  <c r="E863" i="12"/>
  <c r="E864" i="12"/>
  <c r="E865" i="12"/>
  <c r="E866" i="12"/>
  <c r="E867" i="12"/>
  <c r="E868" i="12"/>
  <c r="E869" i="12"/>
  <c r="E870" i="12"/>
  <c r="E871" i="12"/>
  <c r="E872" i="12"/>
  <c r="E873" i="12"/>
  <c r="E874" i="12"/>
  <c r="E875" i="12"/>
  <c r="E876" i="12"/>
  <c r="E877" i="12"/>
  <c r="E878" i="12"/>
  <c r="E879" i="12"/>
  <c r="E880" i="12"/>
  <c r="E881" i="12"/>
  <c r="E882" i="12"/>
  <c r="E883" i="12"/>
  <c r="E884" i="12"/>
  <c r="E885" i="12"/>
  <c r="E886" i="12"/>
  <c r="E887" i="12"/>
  <c r="E888" i="12"/>
  <c r="E889" i="12"/>
  <c r="E890" i="12"/>
  <c r="E891" i="12"/>
  <c r="E892" i="12"/>
  <c r="E893" i="12"/>
  <c r="E894" i="12"/>
  <c r="E895" i="12"/>
  <c r="E896" i="12"/>
  <c r="E897" i="12"/>
  <c r="E898" i="12"/>
  <c r="E899" i="12"/>
  <c r="E900" i="12"/>
  <c r="E901" i="12"/>
  <c r="E902" i="12"/>
  <c r="E903" i="12"/>
  <c r="E904" i="12"/>
  <c r="E905" i="12"/>
  <c r="E906" i="12"/>
  <c r="E907" i="12"/>
  <c r="E908" i="12"/>
  <c r="E909" i="12"/>
  <c r="E910" i="12"/>
  <c r="E911" i="12"/>
  <c r="E912" i="12"/>
  <c r="E913" i="12"/>
  <c r="E914" i="12"/>
  <c r="E915" i="12"/>
  <c r="E916" i="12"/>
  <c r="E917" i="12"/>
  <c r="E918" i="12"/>
  <c r="E919" i="12"/>
  <c r="E920" i="12"/>
  <c r="E921" i="12"/>
  <c r="E922" i="12"/>
  <c r="E923" i="12"/>
  <c r="E924" i="12"/>
  <c r="E925" i="12"/>
  <c r="E926" i="12"/>
  <c r="E927" i="12"/>
  <c r="E928" i="12"/>
  <c r="E929" i="12"/>
  <c r="E930" i="12"/>
  <c r="E931" i="12"/>
  <c r="E932" i="12"/>
  <c r="E933" i="12"/>
  <c r="E934" i="12"/>
  <c r="E935" i="12"/>
  <c r="E936" i="12"/>
  <c r="E937" i="12"/>
  <c r="E938" i="12"/>
  <c r="E939" i="12"/>
  <c r="E940" i="12"/>
  <c r="E941" i="12"/>
  <c r="E942" i="12"/>
  <c r="E943" i="12"/>
  <c r="E944" i="12"/>
  <c r="E945" i="12"/>
  <c r="E946" i="12"/>
  <c r="E947" i="12"/>
  <c r="E948" i="12"/>
  <c r="E949" i="12"/>
  <c r="E950" i="12"/>
  <c r="E951" i="12"/>
  <c r="E952" i="12"/>
  <c r="E953" i="12"/>
  <c r="E954" i="12"/>
  <c r="E955" i="12"/>
  <c r="E956" i="12"/>
  <c r="E957" i="12"/>
  <c r="E958" i="12"/>
  <c r="E959" i="12"/>
  <c r="E960" i="12"/>
  <c r="E961" i="12"/>
  <c r="E962" i="12"/>
  <c r="E963" i="12"/>
  <c r="E964" i="12"/>
  <c r="E965" i="12"/>
  <c r="E966" i="12"/>
  <c r="E967" i="12"/>
  <c r="E968" i="12"/>
  <c r="E969" i="12"/>
  <c r="E970" i="12"/>
  <c r="E971" i="12"/>
  <c r="E972" i="12"/>
  <c r="E973" i="12"/>
  <c r="E974" i="12"/>
  <c r="E975" i="12"/>
  <c r="E976" i="12"/>
  <c r="E977" i="12"/>
  <c r="E978" i="12"/>
  <c r="E979" i="12"/>
  <c r="E980" i="12"/>
  <c r="E981" i="12"/>
  <c r="E982" i="12"/>
  <c r="E983" i="12"/>
  <c r="E984" i="12"/>
  <c r="E985" i="12"/>
  <c r="E986" i="12"/>
  <c r="E987" i="12"/>
  <c r="E988" i="12"/>
  <c r="E989" i="12"/>
  <c r="E990" i="12"/>
  <c r="E991" i="12"/>
  <c r="E992" i="12"/>
  <c r="E993" i="12"/>
  <c r="E994" i="12"/>
  <c r="E995" i="12"/>
  <c r="E996" i="12"/>
  <c r="E997" i="12"/>
  <c r="E998" i="12"/>
  <c r="E999" i="12"/>
  <c r="E1000" i="12"/>
  <c r="E1001" i="12"/>
  <c r="E1002" i="12"/>
  <c r="E1003" i="12"/>
  <c r="E1004" i="12"/>
  <c r="E1005" i="12"/>
  <c r="E1006" i="12"/>
  <c r="E1007" i="12"/>
  <c r="E1008" i="12"/>
  <c r="D2" i="10" a="1"/>
  <c r="D2" i="10" s="1"/>
  <c r="D3" i="10" a="1"/>
  <c r="D3" i="10" s="1"/>
  <c r="D4" i="10" a="1"/>
  <c r="D4" i="10" s="1"/>
  <c r="D5" i="10" a="1"/>
  <c r="D5" i="10" s="1"/>
  <c r="D6" i="10" a="1"/>
  <c r="D6" i="10"/>
  <c r="D7" i="10" a="1"/>
  <c r="D7" i="10" s="1"/>
  <c r="D8" i="10" a="1"/>
  <c r="D8" i="10" s="1"/>
  <c r="D9" i="10" a="1"/>
  <c r="D9" i="10" s="1"/>
  <c r="D10" i="10" a="1"/>
  <c r="D10" i="10"/>
  <c r="D11" i="10" a="1"/>
  <c r="D11" i="10" s="1"/>
  <c r="D12" i="10" a="1"/>
  <c r="D12" i="10" s="1"/>
  <c r="D13" i="10" a="1"/>
  <c r="D13" i="10" s="1"/>
  <c r="D14" i="10" a="1"/>
  <c r="D14" i="10" s="1"/>
  <c r="D15" i="10" a="1"/>
  <c r="D15" i="10" s="1"/>
  <c r="D16" i="10" a="1"/>
  <c r="D16" i="10" s="1"/>
  <c r="D17" i="10" a="1"/>
  <c r="D17" i="10" s="1"/>
  <c r="D18" i="10" a="1"/>
  <c r="D18" i="10" s="1"/>
  <c r="D19" i="10" a="1"/>
  <c r="D19" i="10" s="1"/>
  <c r="D20" i="10" a="1"/>
  <c r="D20" i="10" s="1"/>
  <c r="D21" i="10" a="1"/>
  <c r="D21" i="10" s="1"/>
  <c r="D22" i="10" a="1"/>
  <c r="D22" i="10"/>
  <c r="D23" i="10" a="1"/>
  <c r="D23" i="10" s="1"/>
  <c r="D24" i="10" a="1"/>
  <c r="D24" i="10" s="1"/>
  <c r="D25" i="10" a="1"/>
  <c r="D25" i="10" s="1"/>
  <c r="D26" i="10" a="1"/>
  <c r="D26" i="10"/>
  <c r="D27" i="10" a="1"/>
  <c r="D27" i="10" s="1"/>
  <c r="D28" i="10" a="1"/>
  <c r="D28" i="10" s="1"/>
  <c r="D29" i="10" a="1"/>
  <c r="D29" i="10" s="1"/>
  <c r="D30" i="10" a="1"/>
  <c r="D30" i="10"/>
  <c r="D31" i="10" a="1"/>
  <c r="D31" i="10" s="1"/>
  <c r="D32" i="10" a="1"/>
  <c r="D32" i="10" s="1"/>
  <c r="D33" i="10" a="1"/>
  <c r="D33" i="10" s="1"/>
  <c r="D34" i="10" a="1"/>
  <c r="D34" i="10" s="1"/>
  <c r="D35" i="10" a="1"/>
  <c r="D35" i="10" s="1"/>
  <c r="D36" i="10" a="1"/>
  <c r="D36" i="10" s="1"/>
  <c r="D37" i="10" a="1"/>
  <c r="D37" i="10" s="1"/>
  <c r="D38" i="10" a="1"/>
  <c r="D38" i="10"/>
  <c r="D39" i="10" a="1"/>
  <c r="D39" i="10" s="1"/>
  <c r="D40" i="10" a="1"/>
  <c r="D40" i="10" s="1"/>
  <c r="D41" i="10" a="1"/>
  <c r="D41" i="10" s="1"/>
  <c r="D42" i="10" a="1"/>
  <c r="D42" i="10"/>
  <c r="D43" i="10" a="1"/>
  <c r="D43" i="10" s="1"/>
  <c r="D44" i="10" a="1"/>
  <c r="D44" i="10" s="1"/>
  <c r="D45" i="10" a="1"/>
  <c r="D45" i="10" s="1"/>
  <c r="D46" i="10" a="1"/>
  <c r="D46" i="10"/>
  <c r="D47" i="10" a="1"/>
  <c r="D47" i="10" s="1"/>
  <c r="D48" i="10" a="1"/>
  <c r="D48" i="10" s="1"/>
  <c r="D49" i="10" a="1"/>
  <c r="D49" i="10" s="1"/>
  <c r="D50" i="10" a="1"/>
  <c r="D50" i="10" s="1"/>
  <c r="D51" i="10" a="1"/>
  <c r="D51" i="10" s="1"/>
  <c r="D52" i="10" a="1"/>
  <c r="D52" i="10" s="1"/>
  <c r="D53" i="10" a="1"/>
  <c r="D53" i="10" s="1"/>
  <c r="D54" i="10" a="1"/>
  <c r="D54" i="10" s="1"/>
  <c r="D55" i="10" a="1"/>
  <c r="D55" i="10" s="1"/>
  <c r="D56" i="10" a="1"/>
  <c r="D56" i="10" s="1"/>
  <c r="D57" i="10" a="1"/>
  <c r="D57" i="10" s="1"/>
  <c r="D58" i="10" a="1"/>
  <c r="D58" i="10" s="1"/>
  <c r="D59" i="10" a="1"/>
  <c r="D59" i="10" s="1"/>
  <c r="D60" i="10" a="1"/>
  <c r="D60" i="10" s="1"/>
  <c r="D61" i="10" a="1"/>
  <c r="D61" i="10" s="1"/>
  <c r="D62" i="10" a="1"/>
  <c r="D62" i="10"/>
  <c r="D63" i="10" a="1"/>
  <c r="D63" i="10" s="1"/>
  <c r="D64" i="10" a="1"/>
  <c r="D64" i="10" s="1"/>
  <c r="D65" i="10" a="1"/>
  <c r="D65" i="10" s="1"/>
  <c r="D66" i="10" a="1"/>
  <c r="D66" i="10" s="1"/>
  <c r="D67" i="10" a="1"/>
  <c r="D67" i="10" s="1"/>
  <c r="D68" i="10" a="1"/>
  <c r="D68" i="10" s="1"/>
  <c r="D69" i="10" a="1"/>
  <c r="D69" i="10" s="1"/>
  <c r="D70" i="10" a="1"/>
  <c r="D70" i="10"/>
  <c r="D71" i="10" a="1"/>
  <c r="D71" i="10" s="1"/>
  <c r="D72" i="10" a="1"/>
  <c r="D72" i="10" s="1"/>
  <c r="D73" i="10" a="1"/>
  <c r="D73" i="10" s="1"/>
  <c r="D74" i="10" a="1"/>
  <c r="D74" i="10" s="1"/>
  <c r="D75" i="10" a="1"/>
  <c r="D75" i="10" s="1"/>
  <c r="D76" i="10" a="1"/>
  <c r="D76" i="10" s="1"/>
  <c r="D77" i="10" a="1"/>
  <c r="D77" i="10" s="1"/>
  <c r="D78" i="10" a="1"/>
  <c r="D78" i="10"/>
  <c r="D79" i="10" a="1"/>
  <c r="D79" i="10" s="1"/>
  <c r="D80" i="10" a="1"/>
  <c r="D80" i="10" s="1"/>
  <c r="D81" i="10" a="1"/>
  <c r="D81" i="10" s="1"/>
  <c r="D82" i="10" a="1"/>
  <c r="D82" i="10" s="1"/>
  <c r="D83" i="10" a="1"/>
  <c r="D83" i="10" s="1"/>
  <c r="D84" i="10" a="1"/>
  <c r="D84" i="10" s="1"/>
  <c r="D85" i="10" a="1"/>
  <c r="D85" i="10" s="1"/>
  <c r="D86" i="10" a="1"/>
  <c r="D86" i="10" s="1"/>
  <c r="D87" i="10" a="1"/>
  <c r="D87" i="10" s="1"/>
  <c r="D88" i="10" a="1"/>
  <c r="D88" i="10" s="1"/>
  <c r="D89" i="10" a="1"/>
  <c r="D89" i="10" s="1"/>
  <c r="D90" i="10" a="1"/>
  <c r="D90" i="10" s="1"/>
  <c r="D91" i="10" a="1"/>
  <c r="D91" i="10" s="1"/>
  <c r="D92" i="10" a="1"/>
  <c r="D92" i="10" s="1"/>
  <c r="D93" i="10" a="1"/>
  <c r="D93" i="10" s="1"/>
  <c r="D94" i="10" a="1"/>
  <c r="D94" i="10"/>
  <c r="D95" i="10" a="1"/>
  <c r="D95" i="10" s="1"/>
  <c r="D96" i="10" a="1"/>
  <c r="D96" i="10" s="1"/>
  <c r="D97" i="10" a="1"/>
  <c r="D97" i="10" s="1"/>
  <c r="D98" i="10" a="1"/>
  <c r="D98" i="10" s="1"/>
  <c r="D99" i="10" a="1"/>
  <c r="D99" i="10" s="1"/>
  <c r="D100" i="10" a="1"/>
  <c r="D100" i="10" s="1"/>
  <c r="D101" i="10" a="1"/>
  <c r="D101" i="10" s="1"/>
  <c r="D102" i="10" a="1"/>
  <c r="D102" i="10"/>
  <c r="D103" i="10" a="1"/>
  <c r="D103" i="10" s="1"/>
  <c r="D104" i="10" a="1"/>
  <c r="D104" i="10" s="1"/>
  <c r="D105" i="10" a="1"/>
  <c r="D105" i="10" s="1"/>
  <c r="D106" i="10" a="1"/>
  <c r="D106" i="10" s="1"/>
  <c r="D107" i="10" a="1"/>
  <c r="D107" i="10" s="1"/>
  <c r="D108" i="10" a="1"/>
  <c r="D108" i="10" s="1"/>
  <c r="D109" i="10" a="1"/>
  <c r="D109" i="10" s="1"/>
  <c r="D110" i="10" a="1"/>
  <c r="D110" i="10"/>
  <c r="D111" i="10" a="1"/>
  <c r="D111" i="10" s="1"/>
  <c r="D112" i="10" a="1"/>
  <c r="D112" i="10" s="1"/>
  <c r="D113" i="10" a="1"/>
  <c r="D113" i="10" s="1"/>
  <c r="D114" i="10" a="1"/>
  <c r="D114" i="10" s="1"/>
  <c r="D115" i="10" a="1"/>
  <c r="D115" i="10" s="1"/>
  <c r="D116" i="10" a="1"/>
  <c r="D116" i="10" s="1"/>
  <c r="D117" i="10" a="1"/>
  <c r="D117" i="10" s="1"/>
  <c r="D118" i="10" a="1"/>
  <c r="D118" i="10" s="1"/>
  <c r="D119" i="10" a="1"/>
  <c r="D119" i="10" s="1"/>
  <c r="D120" i="10" a="1"/>
  <c r="D120" i="10" s="1"/>
  <c r="D121" i="10" a="1"/>
  <c r="D121" i="10" s="1"/>
  <c r="D122" i="10" a="1"/>
  <c r="D122" i="10" s="1"/>
  <c r="D123" i="10" a="1"/>
  <c r="D123" i="10" s="1"/>
  <c r="D124" i="10" a="1"/>
  <c r="D124" i="10" s="1"/>
  <c r="D125" i="10" a="1"/>
  <c r="D125" i="10" s="1"/>
  <c r="D126" i="10" a="1"/>
  <c r="D126" i="10"/>
  <c r="D127" i="10" a="1"/>
  <c r="D127" i="10" s="1"/>
  <c r="D128" i="10" a="1"/>
  <c r="D128" i="10" s="1"/>
  <c r="D129" i="10" a="1"/>
  <c r="D129" i="10" s="1"/>
  <c r="D130" i="10" a="1"/>
  <c r="D130" i="10" s="1"/>
  <c r="D131" i="10" a="1"/>
  <c r="D131" i="10" s="1"/>
  <c r="D132" i="10" a="1"/>
  <c r="D132" i="10" s="1"/>
  <c r="D133" i="10" a="1"/>
  <c r="D133" i="10" s="1"/>
  <c r="D134" i="10" a="1"/>
  <c r="D134" i="10"/>
  <c r="D135" i="10" a="1"/>
  <c r="D135" i="10" s="1"/>
  <c r="D136" i="10" a="1"/>
  <c r="D136" i="10" s="1"/>
  <c r="D137" i="10" a="1"/>
  <c r="D137" i="10" s="1"/>
  <c r="D138" i="10" a="1"/>
  <c r="D138" i="10" s="1"/>
  <c r="D139" i="10" a="1"/>
  <c r="D139" i="10" s="1"/>
  <c r="D140" i="10" a="1"/>
  <c r="D140" i="10" s="1"/>
  <c r="D141" i="10" a="1"/>
  <c r="D141" i="10" s="1"/>
  <c r="D142" i="10" a="1"/>
  <c r="D142" i="10"/>
  <c r="D143" i="10" a="1"/>
  <c r="D143" i="10" s="1"/>
  <c r="D144" i="10" a="1"/>
  <c r="D144" i="10" s="1"/>
  <c r="D145" i="10" a="1"/>
  <c r="D145" i="10" s="1"/>
  <c r="D146" i="10" a="1"/>
  <c r="D146" i="10" s="1"/>
  <c r="D147" i="10" a="1"/>
  <c r="D147" i="10" s="1"/>
  <c r="D148" i="10" a="1"/>
  <c r="D148" i="10" s="1"/>
  <c r="D149" i="10" a="1"/>
  <c r="D149" i="10" s="1"/>
  <c r="D150" i="10" a="1"/>
  <c r="D150" i="10" s="1"/>
  <c r="D151" i="10" a="1"/>
  <c r="D151" i="10" s="1"/>
  <c r="D152" i="10" a="1"/>
  <c r="D152" i="10" s="1"/>
  <c r="D153" i="10" a="1"/>
  <c r="D153" i="10" s="1"/>
  <c r="D154" i="10" a="1"/>
  <c r="D154" i="10" s="1"/>
  <c r="D155" i="10" a="1"/>
  <c r="D155" i="10" s="1"/>
  <c r="D156" i="10" a="1"/>
  <c r="D156" i="10" s="1"/>
  <c r="D157" i="10" a="1"/>
  <c r="D157" i="10" s="1"/>
  <c r="D158" i="10" a="1"/>
  <c r="D158" i="10"/>
  <c r="D159" i="10" a="1"/>
  <c r="D159" i="10" s="1"/>
  <c r="D160" i="10" a="1"/>
  <c r="D160" i="10" s="1"/>
  <c r="D161" i="10" a="1"/>
  <c r="D161" i="10" s="1"/>
  <c r="D162" i="10" a="1"/>
  <c r="D162" i="10" s="1"/>
  <c r="D163" i="10" a="1"/>
  <c r="D163" i="10" s="1"/>
  <c r="D164" i="10" a="1"/>
  <c r="D164" i="10" s="1"/>
  <c r="D165" i="10" a="1"/>
  <c r="D165" i="10" s="1"/>
  <c r="D166" i="10" a="1"/>
  <c r="D166" i="10"/>
  <c r="D167" i="10" a="1"/>
  <c r="D167" i="10" s="1"/>
  <c r="D168" i="10" a="1"/>
  <c r="D168" i="10" s="1"/>
  <c r="D169" i="10" a="1"/>
  <c r="D169" i="10" s="1"/>
  <c r="D170" i="10" a="1"/>
  <c r="D170" i="10" s="1"/>
  <c r="D171" i="10" a="1"/>
  <c r="D171" i="10" s="1"/>
  <c r="D172" i="10" a="1"/>
  <c r="D172" i="10" s="1"/>
  <c r="D173" i="10" a="1"/>
  <c r="D173" i="10" s="1"/>
  <c r="D174" i="10" a="1"/>
  <c r="D174" i="10"/>
  <c r="D175" i="10" a="1"/>
  <c r="D175" i="10" s="1"/>
  <c r="D176" i="10" a="1"/>
  <c r="D176" i="10" s="1"/>
  <c r="D177" i="10" a="1"/>
  <c r="D177" i="10" s="1"/>
  <c r="D178" i="10" a="1"/>
  <c r="D178" i="10" s="1"/>
  <c r="D179" i="10" a="1"/>
  <c r="D179" i="10" s="1"/>
  <c r="D180" i="10" a="1"/>
  <c r="D180" i="10" s="1"/>
  <c r="D181" i="10" a="1"/>
  <c r="D181" i="10" s="1"/>
  <c r="D182" i="10" a="1"/>
  <c r="D182" i="10"/>
  <c r="D183" i="10" a="1"/>
  <c r="D183" i="10" s="1"/>
  <c r="D184" i="10" a="1"/>
  <c r="D184" i="10" s="1"/>
  <c r="D185" i="10" a="1"/>
  <c r="D185" i="10" s="1"/>
  <c r="D186" i="10" a="1"/>
  <c r="D186" i="10"/>
  <c r="D187" i="10" a="1"/>
  <c r="D187" i="10" s="1"/>
  <c r="D188" i="10" a="1"/>
  <c r="D188" i="10" s="1"/>
  <c r="D189" i="10" a="1"/>
  <c r="D189" i="10" s="1"/>
  <c r="D190" i="10" a="1"/>
  <c r="D190" i="10"/>
  <c r="D191" i="10" a="1"/>
  <c r="D191" i="10" s="1"/>
  <c r="D192" i="10" a="1"/>
  <c r="D192" i="10" s="1"/>
  <c r="D193" i="10" a="1"/>
  <c r="D193" i="10" s="1"/>
  <c r="D194" i="10" a="1"/>
  <c r="D194" i="10" s="1"/>
  <c r="D195" i="10" a="1"/>
  <c r="D195" i="10" s="1"/>
  <c r="D196" i="10" a="1"/>
  <c r="D196" i="10" s="1"/>
  <c r="D197" i="10" a="1"/>
  <c r="D197" i="10" s="1"/>
  <c r="D198" i="10" a="1"/>
  <c r="D198" i="10"/>
  <c r="D199" i="10" a="1"/>
  <c r="D199" i="10" s="1"/>
  <c r="D200" i="10" a="1"/>
  <c r="D200" i="10" s="1"/>
  <c r="D201" i="10" a="1"/>
  <c r="D201" i="10" s="1"/>
  <c r="D202" i="10" a="1"/>
  <c r="D202" i="10"/>
  <c r="D203" i="10" a="1"/>
  <c r="D203" i="10" s="1"/>
  <c r="D204" i="10" a="1"/>
  <c r="D204" i="10" s="1"/>
  <c r="D205" i="10" a="1"/>
  <c r="D205" i="10" s="1"/>
  <c r="D206" i="10" a="1"/>
  <c r="D206" i="10"/>
  <c r="D207" i="10" a="1"/>
  <c r="D207" i="10" s="1"/>
  <c r="D208" i="10" a="1"/>
  <c r="D208" i="10" s="1"/>
  <c r="D209" i="10" a="1"/>
  <c r="D209" i="10" s="1"/>
  <c r="D210" i="10" a="1"/>
  <c r="D210" i="10" s="1"/>
  <c r="D211" i="10" a="1"/>
  <c r="D211" i="10" s="1"/>
  <c r="D212" i="10" a="1"/>
  <c r="D212" i="10" s="1"/>
  <c r="D213" i="10" a="1"/>
  <c r="D213" i="10" s="1"/>
  <c r="D214" i="10" a="1"/>
  <c r="D214" i="10"/>
  <c r="D215" i="10" a="1"/>
  <c r="D215" i="10" s="1"/>
  <c r="D216" i="10" a="1"/>
  <c r="D216" i="10" s="1"/>
  <c r="D217" i="10" a="1"/>
  <c r="D217" i="10" s="1"/>
  <c r="D218" i="10" a="1"/>
  <c r="D218" i="10"/>
  <c r="D219" i="10" a="1"/>
  <c r="D219" i="10" s="1"/>
  <c r="D220" i="10" a="1"/>
  <c r="D220" i="10" s="1"/>
  <c r="D221" i="10" a="1"/>
  <c r="D221" i="10" s="1"/>
  <c r="D222" i="10" a="1"/>
  <c r="D222" i="10"/>
  <c r="D223" i="10" a="1"/>
  <c r="D223" i="10" s="1"/>
  <c r="D224" i="10" a="1"/>
  <c r="D224" i="10" s="1"/>
  <c r="D225" i="10" a="1"/>
  <c r="D225" i="10" s="1"/>
  <c r="D226" i="10" a="1"/>
  <c r="D226" i="10" s="1"/>
  <c r="D227" i="10" a="1"/>
  <c r="D227" i="10" s="1"/>
  <c r="D228" i="10" a="1"/>
  <c r="D228" i="10" s="1"/>
  <c r="D229" i="10" a="1"/>
  <c r="D229" i="10" s="1"/>
  <c r="D230" i="10" a="1"/>
  <c r="D230" i="10"/>
  <c r="D231" i="10" a="1"/>
  <c r="D231" i="10" s="1"/>
  <c r="D232" i="10" a="1"/>
  <c r="D232" i="10" s="1"/>
  <c r="D233" i="10" a="1"/>
  <c r="D233" i="10" s="1"/>
  <c r="D234" i="10" a="1"/>
  <c r="D234" i="10"/>
  <c r="D235" i="10" a="1"/>
  <c r="D235" i="10" s="1"/>
  <c r="D236" i="10" a="1"/>
  <c r="D236" i="10" s="1"/>
  <c r="D237" i="10" a="1"/>
  <c r="D237" i="10" s="1"/>
  <c r="D238" i="10" a="1"/>
  <c r="D238" i="10"/>
  <c r="D239" i="10" a="1"/>
  <c r="D239" i="10" s="1"/>
  <c r="D240" i="10" a="1"/>
  <c r="D240" i="10" s="1"/>
  <c r="D241" i="10" a="1"/>
  <c r="D241" i="10" s="1"/>
  <c r="D242" i="10" a="1"/>
  <c r="D242" i="10" s="1"/>
  <c r="D243" i="10" a="1"/>
  <c r="D243" i="10" s="1"/>
  <c r="D244" i="10" a="1"/>
  <c r="D244" i="10" s="1"/>
  <c r="D245" i="10" a="1"/>
  <c r="D245" i="10" s="1"/>
  <c r="D246" i="10" a="1"/>
  <c r="D246" i="10"/>
  <c r="D247" i="10" a="1"/>
  <c r="D247" i="10" s="1"/>
  <c r="D248" i="10" a="1"/>
  <c r="D248" i="10" s="1"/>
  <c r="D249" i="10" a="1"/>
  <c r="D249" i="10" s="1"/>
  <c r="D250" i="10" a="1"/>
  <c r="D250" i="10"/>
  <c r="D251" i="10" a="1"/>
  <c r="D251" i="10" s="1"/>
  <c r="D252" i="10" a="1"/>
  <c r="D252" i="10" s="1"/>
  <c r="D253" i="10" a="1"/>
  <c r="D253" i="10" s="1"/>
  <c r="D254" i="10" a="1"/>
  <c r="D254" i="10"/>
  <c r="D255" i="10" a="1"/>
  <c r="D255" i="10" s="1"/>
  <c r="D256" i="10" a="1"/>
  <c r="D256" i="10" s="1"/>
  <c r="D257" i="10" a="1"/>
  <c r="D257" i="10" s="1"/>
  <c r="D258" i="10" a="1"/>
  <c r="D258" i="10" s="1"/>
  <c r="D259" i="10" a="1"/>
  <c r="D259" i="10" s="1"/>
  <c r="D260" i="10" a="1"/>
  <c r="D260" i="10" s="1"/>
  <c r="D261" i="10" a="1"/>
  <c r="D261" i="10" s="1"/>
  <c r="D262" i="10" a="1"/>
  <c r="D262" i="10"/>
  <c r="D263" i="10" a="1"/>
  <c r="D263" i="10" s="1"/>
  <c r="D264" i="10" a="1"/>
  <c r="D264" i="10" s="1"/>
  <c r="D265" i="10" a="1"/>
  <c r="D265" i="10" s="1"/>
  <c r="D266" i="10" a="1"/>
  <c r="D266" i="10"/>
  <c r="D267" i="10" a="1"/>
  <c r="D267" i="10" s="1"/>
  <c r="D268" i="10" a="1"/>
  <c r="D268" i="10" s="1"/>
  <c r="D269" i="10" a="1"/>
  <c r="D269" i="10" s="1"/>
  <c r="D270" i="10" a="1"/>
  <c r="D270" i="10"/>
  <c r="D271" i="10" a="1"/>
  <c r="D271" i="10" s="1"/>
  <c r="D272" i="10" a="1"/>
  <c r="D272" i="10" s="1"/>
  <c r="D273" i="10" a="1"/>
  <c r="D273" i="10" s="1"/>
  <c r="D274" i="10" a="1"/>
  <c r="D274" i="10" s="1"/>
  <c r="D275" i="10" a="1"/>
  <c r="D275" i="10" s="1"/>
  <c r="D276" i="10" a="1"/>
  <c r="D276" i="10" s="1"/>
  <c r="D277" i="10" a="1"/>
  <c r="D277" i="10" s="1"/>
  <c r="D278" i="10" a="1"/>
  <c r="D278" i="10"/>
  <c r="D279" i="10" a="1"/>
  <c r="D279" i="10" s="1"/>
  <c r="D280" i="10" a="1"/>
  <c r="D280" i="10" s="1"/>
  <c r="D281" i="10" a="1"/>
  <c r="D281" i="10" s="1"/>
  <c r="D282" i="10" a="1"/>
  <c r="D282" i="10"/>
  <c r="D283" i="10" a="1"/>
  <c r="D283" i="10" s="1"/>
  <c r="D284" i="10" a="1"/>
  <c r="D284" i="10" s="1"/>
  <c r="D285" i="10" a="1"/>
  <c r="D285" i="10" s="1"/>
  <c r="D286" i="10" a="1"/>
  <c r="D286" i="10"/>
  <c r="D287" i="10" a="1"/>
  <c r="D287" i="10" s="1"/>
  <c r="D288" i="10" a="1"/>
  <c r="D288" i="10" s="1"/>
  <c r="D289" i="10" a="1"/>
  <c r="D289" i="10" s="1"/>
  <c r="D290" i="10" a="1"/>
  <c r="D290" i="10" s="1"/>
  <c r="D291" i="10" a="1"/>
  <c r="D291" i="10" s="1"/>
  <c r="D292" i="10" a="1"/>
  <c r="D292" i="10" s="1"/>
  <c r="D293" i="10" a="1"/>
  <c r="D293" i="10" s="1"/>
  <c r="D294" i="10" a="1"/>
  <c r="D294" i="10" s="1"/>
  <c r="D295" i="10" a="1"/>
  <c r="D295" i="10" s="1"/>
  <c r="D296" i="10" a="1"/>
  <c r="D296" i="10" s="1"/>
  <c r="D297" i="10" a="1"/>
  <c r="D297" i="10" s="1"/>
  <c r="D298" i="10" a="1"/>
  <c r="D298" i="10" s="1"/>
  <c r="D299" i="10" a="1"/>
  <c r="D299" i="10" s="1"/>
  <c r="D300" i="10" a="1"/>
  <c r="D300" i="10" s="1"/>
  <c r="D301" i="10" a="1"/>
  <c r="D301" i="10" s="1"/>
  <c r="D302" i="10" a="1"/>
  <c r="D302" i="10"/>
  <c r="D303" i="10" a="1"/>
  <c r="D303" i="10" s="1"/>
  <c r="D304" i="10" a="1"/>
  <c r="D304" i="10" s="1"/>
  <c r="D305" i="10" a="1"/>
  <c r="D305" i="10" s="1"/>
  <c r="D306" i="10" a="1"/>
  <c r="D306" i="10" s="1"/>
  <c r="D307" i="10" a="1"/>
  <c r="D307" i="10" s="1"/>
  <c r="D308" i="10" a="1"/>
  <c r="D308" i="10" s="1"/>
  <c r="D309" i="10" a="1"/>
  <c r="D309" i="10" s="1"/>
  <c r="D310" i="10" a="1"/>
  <c r="D310" i="10" s="1"/>
  <c r="D311" i="10" a="1"/>
  <c r="D311" i="10" s="1"/>
  <c r="D312" i="10" a="1"/>
  <c r="D312" i="10" s="1"/>
  <c r="D313" i="10" a="1"/>
  <c r="D313" i="10" s="1"/>
  <c r="D314" i="10" a="1"/>
  <c r="D314" i="10" s="1"/>
  <c r="D315" i="10" a="1"/>
  <c r="D315" i="10" s="1"/>
  <c r="D316" i="10" a="1"/>
  <c r="D316" i="10" s="1"/>
  <c r="D317" i="10" a="1"/>
  <c r="D317" i="10" s="1"/>
  <c r="D318" i="10" a="1"/>
  <c r="D318" i="10" s="1"/>
  <c r="D319" i="10" a="1"/>
  <c r="D319" i="10" s="1"/>
  <c r="D320" i="10" a="1"/>
  <c r="D320" i="10" s="1"/>
  <c r="D321" i="10" a="1"/>
  <c r="D321" i="10" s="1"/>
  <c r="D322" i="10" a="1"/>
  <c r="D322" i="10" s="1"/>
  <c r="D323" i="10" a="1"/>
  <c r="D323" i="10" s="1"/>
  <c r="D324" i="10" a="1"/>
  <c r="D324" i="10" s="1"/>
  <c r="D325" i="10" a="1"/>
  <c r="D325" i="10" s="1"/>
  <c r="D326" i="10" a="1"/>
  <c r="D326" i="10" s="1"/>
  <c r="D327" i="10" a="1"/>
  <c r="D327" i="10" s="1"/>
  <c r="D328" i="10" a="1"/>
  <c r="D328" i="10" s="1"/>
  <c r="D329" i="10" a="1"/>
  <c r="D329" i="10" s="1"/>
  <c r="D330" i="10" a="1"/>
  <c r="D330" i="10" s="1"/>
  <c r="D331" i="10" a="1"/>
  <c r="D331" i="10" s="1"/>
  <c r="D332" i="10" a="1"/>
  <c r="D332" i="10" s="1"/>
  <c r="D333" i="10" a="1"/>
  <c r="D333" i="10" s="1"/>
  <c r="D334" i="10" a="1"/>
  <c r="D334" i="10" s="1"/>
  <c r="D335" i="10" a="1"/>
  <c r="D335" i="10" s="1"/>
  <c r="D336" i="10" a="1"/>
  <c r="D336" i="10" s="1"/>
  <c r="D337" i="10" a="1"/>
  <c r="D337" i="10" s="1"/>
  <c r="D338" i="10" a="1"/>
  <c r="D338" i="10" s="1"/>
  <c r="D339" i="10" a="1"/>
  <c r="D339" i="10" s="1"/>
  <c r="D340" i="10" a="1"/>
  <c r="D340" i="10" s="1"/>
  <c r="D341" i="10" a="1"/>
  <c r="D341" i="10" s="1"/>
  <c r="D342" i="10" a="1"/>
  <c r="D342" i="10" s="1"/>
  <c r="D343" i="10" a="1"/>
  <c r="D343" i="10" s="1"/>
  <c r="D344" i="10" a="1"/>
  <c r="D344" i="10" s="1"/>
  <c r="D345" i="10" a="1"/>
  <c r="D345" i="10" s="1"/>
  <c r="D346" i="10" a="1"/>
  <c r="D346" i="10" s="1"/>
  <c r="D347" i="10" a="1"/>
  <c r="D347" i="10" s="1"/>
  <c r="D348" i="10" a="1"/>
  <c r="D348" i="10" s="1"/>
  <c r="D349" i="10" a="1"/>
  <c r="D349" i="10" s="1"/>
  <c r="D350" i="10" a="1"/>
  <c r="D350" i="10" s="1"/>
  <c r="D351" i="10" a="1"/>
  <c r="D351" i="10" s="1"/>
  <c r="D352" i="10" a="1"/>
  <c r="D352" i="10" s="1"/>
  <c r="D353" i="10" a="1"/>
  <c r="D353" i="10" s="1"/>
  <c r="D354" i="10" a="1"/>
  <c r="D354" i="10" s="1"/>
  <c r="D355" i="10" a="1"/>
  <c r="D355" i="10" s="1"/>
  <c r="D356" i="10" a="1"/>
  <c r="D356" i="10" s="1"/>
  <c r="D357" i="10" a="1"/>
  <c r="D357" i="10" s="1"/>
  <c r="D358" i="10" a="1"/>
  <c r="D358" i="10" s="1"/>
  <c r="D359" i="10" a="1"/>
  <c r="D359" i="10" s="1"/>
  <c r="D360" i="10" a="1"/>
  <c r="D360" i="10" s="1"/>
  <c r="D361" i="10" a="1"/>
  <c r="D361" i="10" s="1"/>
  <c r="D362" i="10" a="1"/>
  <c r="D362" i="10" s="1"/>
  <c r="D363" i="10" a="1"/>
  <c r="D363" i="10" s="1"/>
  <c r="D364" i="10" a="1"/>
  <c r="D364" i="10" s="1"/>
  <c r="D365" i="10" a="1"/>
  <c r="D365" i="10" s="1"/>
  <c r="D366" i="10" a="1"/>
  <c r="D366" i="10" s="1"/>
  <c r="C33" i="15" l="1"/>
  <c r="E29" i="15"/>
  <c r="E28" i="15"/>
  <c r="E27" i="15"/>
  <c r="E17" i="15"/>
  <c r="E16" i="15"/>
  <c r="C21" i="15" s="1"/>
  <c r="E15" i="15"/>
  <c r="C9" i="15"/>
  <c r="E5" i="15"/>
  <c r="E4" i="15"/>
  <c r="E3" i="1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0D9177-3DEB-4438-9798-1EA4D9497B1C}" keepAlive="1" name="Consulta - calendario" description="Conexión a la consulta 'calendario' en el libro." type="5" refreshedVersion="7" background="1" saveData="1">
    <dbPr connection="Provider=Microsoft.Mashup.OleDb.1;Data Source=$Workbook$;Location=calendario;Extended Properties=&quot;&quot;" command="SELECT * FROM [calendario]"/>
  </connection>
  <connection id="2" xr16:uid="{AF1BEAF4-8AEA-4717-9445-EA40CC4F29DD}" keepAlive="1" name="Consulta - clientes" description="Conexión a la consulta 'clientes' en el libro." type="5" refreshedVersion="7" background="1" saveData="1">
    <dbPr connection="Provider=Microsoft.Mashup.OleDb.1;Data Source=$Workbook$;Location=clientes;Extended Properties=&quot;&quot;" command="SELECT * FROM [clientes]"/>
  </connection>
  <connection id="3" xr16:uid="{A2735599-3E39-41E2-85DE-1E6E21282126}" keepAlive="1" name="Consulta - productos" description="Conexión a la consulta 'productos' en el libro." type="5" refreshedVersion="7" background="1" saveData="1">
    <dbPr connection="Provider=Microsoft.Mashup.OleDb.1;Data Source=$Workbook$;Location=productos;Extended Properties=&quot;&quot;" command="SELECT * FROM [productos]"/>
  </connection>
  <connection id="4" xr16:uid="{AA9DDFFE-0530-4907-B269-AA65E998D08F}" keepAlive="1" name="Consulta - sucursales" description="Conexión a la consulta 'sucursales' en el libro." type="5" refreshedVersion="7" background="1" saveData="1">
    <dbPr connection="Provider=Microsoft.Mashup.OleDb.1;Data Source=$Workbook$;Location=sucursales;Extended Properties=&quot;&quot;" command="SELECT * FROM [sucursales]"/>
  </connection>
  <connection id="5" xr16:uid="{6C092EB7-A0C5-4050-8B86-BBEE77552660}" keepAlive="1" name="Consulta - supermercado_ventas" description="Conexión a la consulta 'supermercado_ventas' en el libro." type="5" refreshedVersion="7" background="1" saveData="1">
    <dbPr connection="Provider=Microsoft.Mashup.OleDb.1;Data Source=$Workbook$;Location=supermercado_ventas;Extended Properties=&quot;&quot;" command="SELECT * FROM [supermercado_ventas]"/>
  </connection>
  <connection id="6" xr16:uid="{63138EA1-3432-410C-8818-C053D8D0E761}" keepAlive="1" name="Consulta - supermercado_ventas (2)" description="Conexión a la consulta 'supermercado_ventas (2)' en el libro." type="5" refreshedVersion="0" background="1">
    <dbPr connection="Provider=Microsoft.Mashup.OleDb.1;Data Source=$Workbook$;Location=&quot;supermercado_ventas (2)&quot;;Extended Properties=&quot;&quot;" command="SELECT * FROM [supermercado_ventas (2)]"/>
  </connection>
  <connection id="7" xr16:uid="{526D4072-D9C3-4313-AF8F-CBFD2EA00143}" keepAlive="1" name="Consulta - ventas" description="Conexión a la consulta 'ventas' en el libro." type="5" refreshedVersion="7" background="1" saveData="1">
    <dbPr connection="Provider=Microsoft.Mashup.OleDb.1;Data Source=$Workbook$;Location=ventas;Extended Properties=&quot;&quot;" command="SELECT * FROM [ventas]"/>
  </connection>
  <connection id="8" xr16:uid="{92771C52-9153-49F1-95FD-D94C28408FEB}" keepAlive="1" name="ThisWorkbookDataModel" description="Modelo de dat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9" xr16:uid="{96E31089-383F-4372-AF2A-0A312F2FC21B}" name="WorksheetConnection_Dashboard Lizeth Bustos.xlsx!calendario" type="102" refreshedVersion="7" minRefreshableVersion="5">
    <extLst>
      <ext xmlns:x15="http://schemas.microsoft.com/office/spreadsheetml/2010/11/main" uri="{DE250136-89BD-433C-8126-D09CA5730AF9}">
        <x15:connection id="calendario">
          <x15:rangePr sourceName="_xlcn.WorksheetConnection_DashboardLizethBustos.xlsxcalendario1"/>
        </x15:connection>
      </ext>
    </extLst>
  </connection>
  <connection id="10" xr16:uid="{9BE966B7-22E7-4E8B-B3AE-F420C2F74BB8}" name="WorksheetConnection_Dashboard Lizeth Bustos.xlsx!clientes" type="102" refreshedVersion="7" minRefreshableVersion="5">
    <extLst>
      <ext xmlns:x15="http://schemas.microsoft.com/office/spreadsheetml/2010/11/main" uri="{DE250136-89BD-433C-8126-D09CA5730AF9}">
        <x15:connection id="clientes">
          <x15:rangePr sourceName="_xlcn.WorksheetConnection_DashboardLizethBustos.xlsxclientes1"/>
        </x15:connection>
      </ext>
    </extLst>
  </connection>
  <connection id="11" xr16:uid="{150171AC-250F-4B63-AECB-40472D74BE2F}" name="WorksheetConnection_Dashboard Lizeth Bustos.xlsx!productos" type="102" refreshedVersion="7" minRefreshableVersion="5">
    <extLst>
      <ext xmlns:x15="http://schemas.microsoft.com/office/spreadsheetml/2010/11/main" uri="{DE250136-89BD-433C-8126-D09CA5730AF9}">
        <x15:connection id="productos">
          <x15:rangePr sourceName="_xlcn.WorksheetConnection_DashboardLizethBustos.xlsxproductos1"/>
        </x15:connection>
      </ext>
    </extLst>
  </connection>
  <connection id="12" xr16:uid="{8EABE3A8-3700-450F-A2CF-93181EC205E2}" name="WorksheetConnection_Dashboard Lizeth Bustos.xlsx!sucursales" type="102" refreshedVersion="7" minRefreshableVersion="5">
    <extLst>
      <ext xmlns:x15="http://schemas.microsoft.com/office/spreadsheetml/2010/11/main" uri="{DE250136-89BD-433C-8126-D09CA5730AF9}">
        <x15:connection id="sucursales">
          <x15:rangePr sourceName="_xlcn.WorksheetConnection_DashboardLizethBustos.xlsxsucursales1"/>
        </x15:connection>
      </ext>
    </extLst>
  </connection>
  <connection id="13" xr16:uid="{D9FA4220-8B0A-4DC8-9715-91FD33595CEA}" name="WorksheetConnection_Dashboard Lizeth Bustos.xlsx!ventas" type="102" refreshedVersion="7" minRefreshableVersion="5">
    <extLst>
      <ext xmlns:x15="http://schemas.microsoft.com/office/spreadsheetml/2010/11/main" uri="{DE250136-89BD-433C-8126-D09CA5730AF9}">
        <x15:connection id="ventas">
          <x15:rangePr sourceName="_xlcn.WorksheetConnection_DashboardLizethBustos.xlsxventas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<sst xmlns="http://schemas.openxmlformats.org/spreadsheetml/2006/main" count="6775" uniqueCount="1547">
  <si>
    <t>ID Venta</t>
  </si>
  <si>
    <t>Fecha</t>
  </si>
  <si>
    <t>Sucursal</t>
  </si>
  <si>
    <t>Categoría</t>
  </si>
  <si>
    <t>Cantidad</t>
  </si>
  <si>
    <t>Precio Unitario</t>
  </si>
  <si>
    <t>Medio de Pago</t>
  </si>
  <si>
    <t>Norte</t>
  </si>
  <si>
    <t>Carnes</t>
  </si>
  <si>
    <t>Tarjeta</t>
  </si>
  <si>
    <t>Centro</t>
  </si>
  <si>
    <t>Transferencia</t>
  </si>
  <si>
    <t>Abarrotes</t>
  </si>
  <si>
    <t>Sur</t>
  </si>
  <si>
    <t>Bebidas</t>
  </si>
  <si>
    <t>Efectivo</t>
  </si>
  <si>
    <t>Lácteos</t>
  </si>
  <si>
    <t>Total general</t>
  </si>
  <si>
    <t>Mes</t>
  </si>
  <si>
    <t>Etiquetas de fila</t>
  </si>
  <si>
    <t>Total Venta</t>
  </si>
  <si>
    <t>Año</t>
  </si>
  <si>
    <t>Trimestre</t>
  </si>
  <si>
    <t>Día Semana</t>
  </si>
  <si>
    <t>January</t>
  </si>
  <si>
    <t>Sunday</t>
  </si>
  <si>
    <t>Monday</t>
  </si>
  <si>
    <t>Tuesday</t>
  </si>
  <si>
    <t>Wednesday</t>
  </si>
  <si>
    <t>Thursday</t>
  </si>
  <si>
    <t>Friday</t>
  </si>
  <si>
    <t>Saturday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</si>
  <si>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</si>
  <si>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</si>
  <si>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</si>
  <si>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</si>
  <si>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</si>
  <si>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</si>
  <si>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</si>
  <si>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</si>
  <si>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</si>
  <si>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</si>
  <si>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</si>
  <si>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ID Cliente</t>
  </si>
  <si>
    <t>Nombre Cliente</t>
  </si>
  <si>
    <t>Género</t>
  </si>
  <si>
    <t>Ciudad</t>
  </si>
  <si>
    <t>CLI1</t>
  </si>
  <si>
    <t>Edward Sanchez</t>
  </si>
  <si>
    <t>Masculino</t>
  </si>
  <si>
    <t>CLI2</t>
  </si>
  <si>
    <t>Sarah Chapman</t>
  </si>
  <si>
    <t>Femenino</t>
  </si>
  <si>
    <t>CLI3</t>
  </si>
  <si>
    <t>Debra Villa</t>
  </si>
  <si>
    <t>CLI4</t>
  </si>
  <si>
    <t>Lisa Hawkins</t>
  </si>
  <si>
    <t>CLI5</t>
  </si>
  <si>
    <t>Lawrence Moreno</t>
  </si>
  <si>
    <t>CLI6</t>
  </si>
  <si>
    <t>Valerie Perkins</t>
  </si>
  <si>
    <t>CLI7</t>
  </si>
  <si>
    <t>Cheryl Phillips</t>
  </si>
  <si>
    <t>CLI8</t>
  </si>
  <si>
    <t>Holly Alexander</t>
  </si>
  <si>
    <t>CLI9</t>
  </si>
  <si>
    <t>Rebecca Warner</t>
  </si>
  <si>
    <t>CLI10</t>
  </si>
  <si>
    <t>Dr. Christopher Dominguez Jr.</t>
  </si>
  <si>
    <t>CLI11</t>
  </si>
  <si>
    <t>Zachary King</t>
  </si>
  <si>
    <t>CLI12</t>
  </si>
  <si>
    <t>Phillip Franklin</t>
  </si>
  <si>
    <t>CLI13</t>
  </si>
  <si>
    <t>Brian Frye</t>
  </si>
  <si>
    <t>CLI14</t>
  </si>
  <si>
    <t>Timothy Perez</t>
  </si>
  <si>
    <t>CLI15</t>
  </si>
  <si>
    <t>Laura Myers</t>
  </si>
  <si>
    <t>CLI16</t>
  </si>
  <si>
    <t>Lisa Martinez</t>
  </si>
  <si>
    <t>CLI17</t>
  </si>
  <si>
    <t>Nicholas Dixon</t>
  </si>
  <si>
    <t>CLI18</t>
  </si>
  <si>
    <t>Judy Garner</t>
  </si>
  <si>
    <t>CLI19</t>
  </si>
  <si>
    <t>Robin Hernandez</t>
  </si>
  <si>
    <t>CLI20</t>
  </si>
  <si>
    <t>Timothy Klein</t>
  </si>
  <si>
    <t>CLI21</t>
  </si>
  <si>
    <t>Karen Lawrence</t>
  </si>
  <si>
    <t>CLI22</t>
  </si>
  <si>
    <t>Michael Mahoney</t>
  </si>
  <si>
    <t>CLI23</t>
  </si>
  <si>
    <t>Jared Reyes</t>
  </si>
  <si>
    <t>CLI24</t>
  </si>
  <si>
    <t>Kayla Taylor</t>
  </si>
  <si>
    <t>CLI25</t>
  </si>
  <si>
    <t>Charles Avila</t>
  </si>
  <si>
    <t>CLI26</t>
  </si>
  <si>
    <t>Adam Jordan</t>
  </si>
  <si>
    <t>CLI27</t>
  </si>
  <si>
    <t>Gary Hall</t>
  </si>
  <si>
    <t>CLI28</t>
  </si>
  <si>
    <t>Amy Martin</t>
  </si>
  <si>
    <t>CLI29</t>
  </si>
  <si>
    <t>Nicholas Garcia</t>
  </si>
  <si>
    <t>CLI30</t>
  </si>
  <si>
    <t>James Gray</t>
  </si>
  <si>
    <t>CLI31</t>
  </si>
  <si>
    <t>Wendy Davis</t>
  </si>
  <si>
    <t>CLI32</t>
  </si>
  <si>
    <t>Laura Campbell</t>
  </si>
  <si>
    <t>CLI33</t>
  </si>
  <si>
    <t>Robert Ortiz</t>
  </si>
  <si>
    <t>CLI34</t>
  </si>
  <si>
    <t>Melanie Morris</t>
  </si>
  <si>
    <t>CLI35</t>
  </si>
  <si>
    <t>Jason Steele</t>
  </si>
  <si>
    <t>CLI36</t>
  </si>
  <si>
    <t>Caleb Barr</t>
  </si>
  <si>
    <t>CLI37</t>
  </si>
  <si>
    <t>Joseph Dominguez</t>
  </si>
  <si>
    <t>CLI38</t>
  </si>
  <si>
    <t>Amanda Mitchell</t>
  </si>
  <si>
    <t>CLI39</t>
  </si>
  <si>
    <t>Tom Ford PhD</t>
  </si>
  <si>
    <t>CLI40</t>
  </si>
  <si>
    <t>Paul Parker</t>
  </si>
  <si>
    <t>CLI41</t>
  </si>
  <si>
    <t>Andrew Davis</t>
  </si>
  <si>
    <t>CLI42</t>
  </si>
  <si>
    <t>Michelle Casey</t>
  </si>
  <si>
    <t>CLI43</t>
  </si>
  <si>
    <t>Elizabeth Davila</t>
  </si>
  <si>
    <t>CLI44</t>
  </si>
  <si>
    <t>Melissa Martinez</t>
  </si>
  <si>
    <t>CLI45</t>
  </si>
  <si>
    <t>Matthew Sparks</t>
  </si>
  <si>
    <t>CLI46</t>
  </si>
  <si>
    <t>David Williams</t>
  </si>
  <si>
    <t>CLI47</t>
  </si>
  <si>
    <t>Mark Gomez</t>
  </si>
  <si>
    <t>CLI48</t>
  </si>
  <si>
    <t>Philip Wells</t>
  </si>
  <si>
    <t>CLI49</t>
  </si>
  <si>
    <t>Kayla Martinez</t>
  </si>
  <si>
    <t>CLI50</t>
  </si>
  <si>
    <t>Stephen Lyons</t>
  </si>
  <si>
    <t>CLI51</t>
  </si>
  <si>
    <t>Jesse Gray</t>
  </si>
  <si>
    <t>CLI52</t>
  </si>
  <si>
    <t>Edward Brown</t>
  </si>
  <si>
    <t>CLI53</t>
  </si>
  <si>
    <t>Kayla Davis</t>
  </si>
  <si>
    <t>CLI54</t>
  </si>
  <si>
    <t>Carol Kelley</t>
  </si>
  <si>
    <t>CLI55</t>
  </si>
  <si>
    <t>Garrett Rose</t>
  </si>
  <si>
    <t>CLI56</t>
  </si>
  <si>
    <t>Kayla Chapman</t>
  </si>
  <si>
    <t>CLI57</t>
  </si>
  <si>
    <t>Amanda Norton</t>
  </si>
  <si>
    <t>CLI58</t>
  </si>
  <si>
    <t>Mrs. Natalie Peterson</t>
  </si>
  <si>
    <t>CLI59</t>
  </si>
  <si>
    <t>Scott Williams</t>
  </si>
  <si>
    <t>CLI60</t>
  </si>
  <si>
    <t>Andrew Ramos</t>
  </si>
  <si>
    <t>CLI61</t>
  </si>
  <si>
    <t>Scott Bernard</t>
  </si>
  <si>
    <t>CLI62</t>
  </si>
  <si>
    <t>Victoria Smith</t>
  </si>
  <si>
    <t>CLI63</t>
  </si>
  <si>
    <t>Brian Miller</t>
  </si>
  <si>
    <t>CLI64</t>
  </si>
  <si>
    <t>Daniel Velasquez</t>
  </si>
  <si>
    <t>CLI65</t>
  </si>
  <si>
    <t>Molly Williams</t>
  </si>
  <si>
    <t>CLI66</t>
  </si>
  <si>
    <t>David Chen</t>
  </si>
  <si>
    <t>CLI67</t>
  </si>
  <si>
    <t>Carolyn Day</t>
  </si>
  <si>
    <t>CLI68</t>
  </si>
  <si>
    <t>Christine Peterson</t>
  </si>
  <si>
    <t>CLI69</t>
  </si>
  <si>
    <t>Jose Holden</t>
  </si>
  <si>
    <t>CLI70</t>
  </si>
  <si>
    <t>Michael Parker</t>
  </si>
  <si>
    <t>CLI71</t>
  </si>
  <si>
    <t>Mark Mckinney</t>
  </si>
  <si>
    <t>CLI72</t>
  </si>
  <si>
    <t>Joseph Jackson</t>
  </si>
  <si>
    <t>CLI73</t>
  </si>
  <si>
    <t>Ronald Camacho</t>
  </si>
  <si>
    <t>CLI74</t>
  </si>
  <si>
    <t>Sharon Huffman</t>
  </si>
  <si>
    <t>CLI75</t>
  </si>
  <si>
    <t>Michael Anderson</t>
  </si>
  <si>
    <t>CLI76</t>
  </si>
  <si>
    <t>Julie Oliver</t>
  </si>
  <si>
    <t>CLI77</t>
  </si>
  <si>
    <t>Richard Fuller</t>
  </si>
  <si>
    <t>CLI78</t>
  </si>
  <si>
    <t>Christopher Wu</t>
  </si>
  <si>
    <t>CLI79</t>
  </si>
  <si>
    <t>April Le</t>
  </si>
  <si>
    <t>CLI80</t>
  </si>
  <si>
    <t>Darren Mueller</t>
  </si>
  <si>
    <t>CLI81</t>
  </si>
  <si>
    <t>Jeremy Barber</t>
  </si>
  <si>
    <t>CLI82</t>
  </si>
  <si>
    <t>Renee Jacobson</t>
  </si>
  <si>
    <t>CLI83</t>
  </si>
  <si>
    <t>Thomas Meyer</t>
  </si>
  <si>
    <t>CLI84</t>
  </si>
  <si>
    <t>Amanda Dorsey</t>
  </si>
  <si>
    <t>CLI85</t>
  </si>
  <si>
    <t>Ann Martinez</t>
  </si>
  <si>
    <t>CLI86</t>
  </si>
  <si>
    <t>Kenneth Garcia</t>
  </si>
  <si>
    <t>CLI87</t>
  </si>
  <si>
    <t>Jennifer Evans</t>
  </si>
  <si>
    <t>CLI88</t>
  </si>
  <si>
    <t>Elizabeth Franklin</t>
  </si>
  <si>
    <t>CLI89</t>
  </si>
  <si>
    <t>Jeffery Taylor DDS</t>
  </si>
  <si>
    <t>CLI90</t>
  </si>
  <si>
    <t>Wendy Morris</t>
  </si>
  <si>
    <t>CLI91</t>
  </si>
  <si>
    <t>Ricky Owen</t>
  </si>
  <si>
    <t>CLI92</t>
  </si>
  <si>
    <t>Robert Lloyd</t>
  </si>
  <si>
    <t>CLI93</t>
  </si>
  <si>
    <t>Tiffany Mcdonald</t>
  </si>
  <si>
    <t>CLI94</t>
  </si>
  <si>
    <t>Mrs. Renee Evans MD</t>
  </si>
  <si>
    <t>CLI95</t>
  </si>
  <si>
    <t>Joyce Smith</t>
  </si>
  <si>
    <t>CLI96</t>
  </si>
  <si>
    <t>Michael Ramirez</t>
  </si>
  <si>
    <t>CLI97</t>
  </si>
  <si>
    <t>Aaron Herrera</t>
  </si>
  <si>
    <t>CLI98</t>
  </si>
  <si>
    <t>Tiffany Tucker</t>
  </si>
  <si>
    <t>CLI99</t>
  </si>
  <si>
    <t>Shawn Hawkins</t>
  </si>
  <si>
    <t>CLI100</t>
  </si>
  <si>
    <t>Mark Gibson</t>
  </si>
  <si>
    <t>CLI101</t>
  </si>
  <si>
    <t>Nicholas Strong</t>
  </si>
  <si>
    <t>CLI102</t>
  </si>
  <si>
    <t>Linda Wallace</t>
  </si>
  <si>
    <t>CLI103</t>
  </si>
  <si>
    <t>Laura Jones</t>
  </si>
  <si>
    <t>CLI104</t>
  </si>
  <si>
    <t>Matthew Williamson</t>
  </si>
  <si>
    <t>CLI105</t>
  </si>
  <si>
    <t>David Garcia</t>
  </si>
  <si>
    <t>CLI106</t>
  </si>
  <si>
    <t>Aaron Gordon</t>
  </si>
  <si>
    <t>CLI107</t>
  </si>
  <si>
    <t>Stephanie Fleming</t>
  </si>
  <si>
    <t>CLI108</t>
  </si>
  <si>
    <t>Travis Myers</t>
  </si>
  <si>
    <t>CLI109</t>
  </si>
  <si>
    <t>David Hardy</t>
  </si>
  <si>
    <t>CLI110</t>
  </si>
  <si>
    <t>Brett Sutton</t>
  </si>
  <si>
    <t>CLI111</t>
  </si>
  <si>
    <t>Christopher Taylor</t>
  </si>
  <si>
    <t>CLI112</t>
  </si>
  <si>
    <t>Seth Lee</t>
  </si>
  <si>
    <t>CLI113</t>
  </si>
  <si>
    <t>Taylor Woods</t>
  </si>
  <si>
    <t>CLI114</t>
  </si>
  <si>
    <t>Vanessa Jackson</t>
  </si>
  <si>
    <t>CLI115</t>
  </si>
  <si>
    <t>Thomas Ramos</t>
  </si>
  <si>
    <t>CLI116</t>
  </si>
  <si>
    <t>Jeffrey Mack</t>
  </si>
  <si>
    <t>CLI117</t>
  </si>
  <si>
    <t>Jennifer Morrison</t>
  </si>
  <si>
    <t>CLI118</t>
  </si>
  <si>
    <t>Crystal Monroe</t>
  </si>
  <si>
    <t>CLI119</t>
  </si>
  <si>
    <t>Stephanie Glover</t>
  </si>
  <si>
    <t>CLI120</t>
  </si>
  <si>
    <t>April Kelly</t>
  </si>
  <si>
    <t>CLI121</t>
  </si>
  <si>
    <t>Cheryl Russell</t>
  </si>
  <si>
    <t>CLI122</t>
  </si>
  <si>
    <t>Katherine Nguyen DDS</t>
  </si>
  <si>
    <t>CLI123</t>
  </si>
  <si>
    <t>Darin Jones</t>
  </si>
  <si>
    <t>CLI124</t>
  </si>
  <si>
    <t>Michael Arellano</t>
  </si>
  <si>
    <t>CLI125</t>
  </si>
  <si>
    <t>Derek Pennington</t>
  </si>
  <si>
    <t>CLI126</t>
  </si>
  <si>
    <t>Kevin Bender</t>
  </si>
  <si>
    <t>CLI127</t>
  </si>
  <si>
    <t>Amy Miller</t>
  </si>
  <si>
    <t>CLI128</t>
  </si>
  <si>
    <t>Keith Ware</t>
  </si>
  <si>
    <t>CLI129</t>
  </si>
  <si>
    <t>John Green</t>
  </si>
  <si>
    <t>CLI130</t>
  </si>
  <si>
    <t>Christopher Jackson</t>
  </si>
  <si>
    <t>CLI131</t>
  </si>
  <si>
    <t>Jennifer Thornton</t>
  </si>
  <si>
    <t>CLI132</t>
  </si>
  <si>
    <t>Suzanne Snyder</t>
  </si>
  <si>
    <t>CLI133</t>
  </si>
  <si>
    <t>Robert Goodwin</t>
  </si>
  <si>
    <t>CLI134</t>
  </si>
  <si>
    <t>Sharon Hayes</t>
  </si>
  <si>
    <t>CLI135</t>
  </si>
  <si>
    <t>Katherine Baker</t>
  </si>
  <si>
    <t>CLI136</t>
  </si>
  <si>
    <t>Christian Shepherd</t>
  </si>
  <si>
    <t>CLI137</t>
  </si>
  <si>
    <t>Brenda Wilson</t>
  </si>
  <si>
    <t>CLI138</t>
  </si>
  <si>
    <t>Hannah Rogers</t>
  </si>
  <si>
    <t>CLI139</t>
  </si>
  <si>
    <t>Jeffery Garrett</t>
  </si>
  <si>
    <t>CLI140</t>
  </si>
  <si>
    <t>Kenneth Silva</t>
  </si>
  <si>
    <t>CLI141</t>
  </si>
  <si>
    <t>Sandra Brewer</t>
  </si>
  <si>
    <t>CLI142</t>
  </si>
  <si>
    <t>Tyrone Turner</t>
  </si>
  <si>
    <t>CLI143</t>
  </si>
  <si>
    <t>Shawna Gibson</t>
  </si>
  <si>
    <t>CLI144</t>
  </si>
  <si>
    <t>Andrea Sandoval</t>
  </si>
  <si>
    <t>CLI145</t>
  </si>
  <si>
    <t>Jennifer Acosta</t>
  </si>
  <si>
    <t>CLI146</t>
  </si>
  <si>
    <t>Dominic Henderson</t>
  </si>
  <si>
    <t>CLI147</t>
  </si>
  <si>
    <t>Amy Murphy</t>
  </si>
  <si>
    <t>CLI148</t>
  </si>
  <si>
    <t>Paul Smith</t>
  </si>
  <si>
    <t>CLI149</t>
  </si>
  <si>
    <t>Anna Young</t>
  </si>
  <si>
    <t>CLI150</t>
  </si>
  <si>
    <t>Timothy Lloyd</t>
  </si>
  <si>
    <t>CLI151</t>
  </si>
  <si>
    <t>Lindsey Rowe</t>
  </si>
  <si>
    <t>CLI152</t>
  </si>
  <si>
    <t>Brian Reeves</t>
  </si>
  <si>
    <t>CLI153</t>
  </si>
  <si>
    <t>Christine Andrade</t>
  </si>
  <si>
    <t>CLI154</t>
  </si>
  <si>
    <t>Richard Johnson</t>
  </si>
  <si>
    <t>CLI155</t>
  </si>
  <si>
    <t>Katie Clark</t>
  </si>
  <si>
    <t>CLI156</t>
  </si>
  <si>
    <t>Patrick Powers</t>
  </si>
  <si>
    <t>CLI157</t>
  </si>
  <si>
    <t>Michael Wilson</t>
  </si>
  <si>
    <t>CLI158</t>
  </si>
  <si>
    <t>James Wright</t>
  </si>
  <si>
    <t>CLI159</t>
  </si>
  <si>
    <t>Kristy Erickson DDS</t>
  </si>
  <si>
    <t>CLI160</t>
  </si>
  <si>
    <t>James Sanchez</t>
  </si>
  <si>
    <t>CLI161</t>
  </si>
  <si>
    <t>Darlene Hunter</t>
  </si>
  <si>
    <t>CLI162</t>
  </si>
  <si>
    <t>Timothy Kennedy</t>
  </si>
  <si>
    <t>CLI163</t>
  </si>
  <si>
    <t>Stephanie Medina</t>
  </si>
  <si>
    <t>CLI164</t>
  </si>
  <si>
    <t>Clayton Parks</t>
  </si>
  <si>
    <t>CLI165</t>
  </si>
  <si>
    <t>Jamie Stewart</t>
  </si>
  <si>
    <t>CLI166</t>
  </si>
  <si>
    <t>Nancy Dodson</t>
  </si>
  <si>
    <t>CLI167</t>
  </si>
  <si>
    <t>Amanda Robbins</t>
  </si>
  <si>
    <t>CLI168</t>
  </si>
  <si>
    <t>Tammy Baker</t>
  </si>
  <si>
    <t>CLI169</t>
  </si>
  <si>
    <t>Mathew Meyer</t>
  </si>
  <si>
    <t>CLI170</t>
  </si>
  <si>
    <t>David Jones</t>
  </si>
  <si>
    <t>CLI171</t>
  </si>
  <si>
    <t>Gail Chen</t>
  </si>
  <si>
    <t>CLI172</t>
  </si>
  <si>
    <t>Amy Brown</t>
  </si>
  <si>
    <t>CLI173</t>
  </si>
  <si>
    <t>Julie Black</t>
  </si>
  <si>
    <t>CLI174</t>
  </si>
  <si>
    <t>Gabriella Hall</t>
  </si>
  <si>
    <t>CLI175</t>
  </si>
  <si>
    <t>Kelly Hicks</t>
  </si>
  <si>
    <t>CLI176</t>
  </si>
  <si>
    <t>Kyle Rodriguez</t>
  </si>
  <si>
    <t>CLI177</t>
  </si>
  <si>
    <t>Jeff Lucas</t>
  </si>
  <si>
    <t>CLI178</t>
  </si>
  <si>
    <t>Kristen Cooley</t>
  </si>
  <si>
    <t>CLI179</t>
  </si>
  <si>
    <t>Larry Wilson</t>
  </si>
  <si>
    <t>CLI180</t>
  </si>
  <si>
    <t>Matthew Sullivan</t>
  </si>
  <si>
    <t>CLI181</t>
  </si>
  <si>
    <t>Suzanne Carpenter</t>
  </si>
  <si>
    <t>CLI182</t>
  </si>
  <si>
    <t>Tom Webster</t>
  </si>
  <si>
    <t>CLI183</t>
  </si>
  <si>
    <t>Sarah Stewart</t>
  </si>
  <si>
    <t>CLI184</t>
  </si>
  <si>
    <t>Derrick Byrd</t>
  </si>
  <si>
    <t>CLI185</t>
  </si>
  <si>
    <t>Norma Villarreal</t>
  </si>
  <si>
    <t>CLI186</t>
  </si>
  <si>
    <t>Kimberly Tran</t>
  </si>
  <si>
    <t>CLI187</t>
  </si>
  <si>
    <t>Richard Taylor</t>
  </si>
  <si>
    <t>CLI188</t>
  </si>
  <si>
    <t>Amy Simmons</t>
  </si>
  <si>
    <t>CLI189</t>
  </si>
  <si>
    <t>Dylan Thompson</t>
  </si>
  <si>
    <t>CLI190</t>
  </si>
  <si>
    <t>Christopher Schultz</t>
  </si>
  <si>
    <t>CLI191</t>
  </si>
  <si>
    <t>James Morrison</t>
  </si>
  <si>
    <t>CLI192</t>
  </si>
  <si>
    <t>Charles Raymond</t>
  </si>
  <si>
    <t>CLI193</t>
  </si>
  <si>
    <t>Elizabeth Davis</t>
  </si>
  <si>
    <t>CLI194</t>
  </si>
  <si>
    <t>Miss Tracy Ramirez</t>
  </si>
  <si>
    <t>CLI195</t>
  </si>
  <si>
    <t>Sheila Jones</t>
  </si>
  <si>
    <t>CLI196</t>
  </si>
  <si>
    <t>Jennifer Williams</t>
  </si>
  <si>
    <t>CLI197</t>
  </si>
  <si>
    <t>Abigail Freeman</t>
  </si>
  <si>
    <t>CLI198</t>
  </si>
  <si>
    <t>Mr. George Flowers</t>
  </si>
  <si>
    <t>CLI199</t>
  </si>
  <si>
    <t>Jasmine Day</t>
  </si>
  <si>
    <t>CLI200</t>
  </si>
  <si>
    <t>Edward Olson</t>
  </si>
  <si>
    <t>ID Producto</t>
  </si>
  <si>
    <t>ID Sucursal</t>
  </si>
  <si>
    <t>VENTA1</t>
  </si>
  <si>
    <t>PROD10</t>
  </si>
  <si>
    <t>SUC2</t>
  </si>
  <si>
    <t>VENTA27</t>
  </si>
  <si>
    <t>VENTA41</t>
  </si>
  <si>
    <t>SUC1</t>
  </si>
  <si>
    <t>VENTA70</t>
  </si>
  <si>
    <t>VENTA74</t>
  </si>
  <si>
    <t>VENTA75</t>
  </si>
  <si>
    <t>VENTA116</t>
  </si>
  <si>
    <t>VENTA133</t>
  </si>
  <si>
    <t>VENTA145</t>
  </si>
  <si>
    <t>SUC3</t>
  </si>
  <si>
    <t>VENTA211</t>
  </si>
  <si>
    <t>VENTA258</t>
  </si>
  <si>
    <t>VENTA268</t>
  </si>
  <si>
    <t>VENTA273</t>
  </si>
  <si>
    <t>VENTA274</t>
  </si>
  <si>
    <t>VENTA282</t>
  </si>
  <si>
    <t>VENTA288</t>
  </si>
  <si>
    <t>VENTA289</t>
  </si>
  <si>
    <t>VENTA299</t>
  </si>
  <si>
    <t>VENTA303</t>
  </si>
  <si>
    <t>VENTA320</t>
  </si>
  <si>
    <t>VENTA329</t>
  </si>
  <si>
    <t>VENTA339</t>
  </si>
  <si>
    <t>VENTA384</t>
  </si>
  <si>
    <t>VENTA434</t>
  </si>
  <si>
    <t>VENTA438</t>
  </si>
  <si>
    <t>VENTA443</t>
  </si>
  <si>
    <t>VENTA461</t>
  </si>
  <si>
    <t>VENTA496</t>
  </si>
  <si>
    <t>VENTA536</t>
  </si>
  <si>
    <t>VENTA562</t>
  </si>
  <si>
    <t>VENTA563</t>
  </si>
  <si>
    <t>VENTA574</t>
  </si>
  <si>
    <t>VENTA615</t>
  </si>
  <si>
    <t>VENTA634</t>
  </si>
  <si>
    <t>VENTA643</t>
  </si>
  <si>
    <t>VENTA695</t>
  </si>
  <si>
    <t>VENTA706</t>
  </si>
  <si>
    <t>VENTA709</t>
  </si>
  <si>
    <t>VENTA719</t>
  </si>
  <si>
    <t>VENTA736</t>
  </si>
  <si>
    <t>VENTA742</t>
  </si>
  <si>
    <t>VENTA797</t>
  </si>
  <si>
    <t>VENTA809</t>
  </si>
  <si>
    <t>VENTA817</t>
  </si>
  <si>
    <t>VENTA835</t>
  </si>
  <si>
    <t>VENTA839</t>
  </si>
  <si>
    <t>VENTA842</t>
  </si>
  <si>
    <t>VENTA865</t>
  </si>
  <si>
    <t>VENTA881</t>
  </si>
  <si>
    <t>VENTA897</t>
  </si>
  <si>
    <t>VENTA902</t>
  </si>
  <si>
    <t>VENTA912</t>
  </si>
  <si>
    <t>VENTA934</t>
  </si>
  <si>
    <t>VENTA947</t>
  </si>
  <si>
    <t>VENTA960</t>
  </si>
  <si>
    <t>VENTA2</t>
  </si>
  <si>
    <t>PROD19</t>
  </si>
  <si>
    <t>VENTA16</t>
  </si>
  <si>
    <t>VENTA28</t>
  </si>
  <si>
    <t>VENTA29</t>
  </si>
  <si>
    <t>VENTA113</t>
  </si>
  <si>
    <t>VENTA159</t>
  </si>
  <si>
    <t>VENTA183</t>
  </si>
  <si>
    <t>VENTA189</t>
  </si>
  <si>
    <t>VENTA199</t>
  </si>
  <si>
    <t>VENTA243</t>
  </si>
  <si>
    <t>VENTA247</t>
  </si>
  <si>
    <t>VENTA296</t>
  </si>
  <si>
    <t>VENTA301</t>
  </si>
  <si>
    <t>VENTA336</t>
  </si>
  <si>
    <t>VENTA395</t>
  </si>
  <si>
    <t>VENTA491</t>
  </si>
  <si>
    <t>VENTA492</t>
  </si>
  <si>
    <t>VENTA494</t>
  </si>
  <si>
    <t>VENTA502</t>
  </si>
  <si>
    <t>VENTA507</t>
  </si>
  <si>
    <t>VENTA585</t>
  </si>
  <si>
    <t>VENTA596</t>
  </si>
  <si>
    <t>VENTA607</t>
  </si>
  <si>
    <t>VENTA609</t>
  </si>
  <si>
    <t>VENTA610</t>
  </si>
  <si>
    <t>VENTA655</t>
  </si>
  <si>
    <t>VENTA681</t>
  </si>
  <si>
    <t>VENTA688</t>
  </si>
  <si>
    <t>VENTA728</t>
  </si>
  <si>
    <t>VENTA730</t>
  </si>
  <si>
    <t>VENTA759</t>
  </si>
  <si>
    <t>VENTA760</t>
  </si>
  <si>
    <t>VENTA763</t>
  </si>
  <si>
    <t>VENTA768</t>
  </si>
  <si>
    <t>VENTA807</t>
  </si>
  <si>
    <t>VENTA808</t>
  </si>
  <si>
    <t>VENTA812</t>
  </si>
  <si>
    <t>VENTA874</t>
  </si>
  <si>
    <t>VENTA875</t>
  </si>
  <si>
    <t>VENTA906</t>
  </si>
  <si>
    <t>VENTA914</t>
  </si>
  <si>
    <t>VENTA942</t>
  </si>
  <si>
    <t>VENTA944</t>
  </si>
  <si>
    <t>VENTA984</t>
  </si>
  <si>
    <t>VENTA3</t>
  </si>
  <si>
    <t>PROD3</t>
  </si>
  <si>
    <t>VENTA31</t>
  </si>
  <si>
    <t>VENTA37</t>
  </si>
  <si>
    <t>VENTA60</t>
  </si>
  <si>
    <t>VENTA71</t>
  </si>
  <si>
    <t>VENTA107</t>
  </si>
  <si>
    <t>VENTA203</t>
  </si>
  <si>
    <t>VENTA207</t>
  </si>
  <si>
    <t>VENTA215</t>
  </si>
  <si>
    <t>VENTA255</t>
  </si>
  <si>
    <t>VENTA309</t>
  </si>
  <si>
    <t>VENTA317</t>
  </si>
  <si>
    <t>VENTA325</t>
  </si>
  <si>
    <t>VENTA328</t>
  </si>
  <si>
    <t>VENTA348</t>
  </si>
  <si>
    <t>VENTA365</t>
  </si>
  <si>
    <t>VENTA367</t>
  </si>
  <si>
    <t>VENTA374</t>
  </si>
  <si>
    <t>VENTA392</t>
  </si>
  <si>
    <t>VENTA424</t>
  </si>
  <si>
    <t>VENTA429</t>
  </si>
  <si>
    <t>VENTA442</t>
  </si>
  <si>
    <t>VENTA446</t>
  </si>
  <si>
    <t>VENTA453</t>
  </si>
  <si>
    <t>VENTA456</t>
  </si>
  <si>
    <t>VENTA471</t>
  </si>
  <si>
    <t>VENTA472</t>
  </si>
  <si>
    <t>VENTA504</t>
  </si>
  <si>
    <t>VENTA527</t>
  </si>
  <si>
    <t>VENTA548</t>
  </si>
  <si>
    <t>VENTA558</t>
  </si>
  <si>
    <t>VENTA597</t>
  </si>
  <si>
    <t>VENTA626</t>
  </si>
  <si>
    <t>VENTA658</t>
  </si>
  <si>
    <t>VENTA687</t>
  </si>
  <si>
    <t>VENTA701</t>
  </si>
  <si>
    <t>VENTA705</t>
  </si>
  <si>
    <t>VENTA737</t>
  </si>
  <si>
    <t>VENTA752</t>
  </si>
  <si>
    <t>VENTA799</t>
  </si>
  <si>
    <t>VENTA810</t>
  </si>
  <si>
    <t>VENTA825</t>
  </si>
  <si>
    <t>VENTA837</t>
  </si>
  <si>
    <t>VENTA871</t>
  </si>
  <si>
    <t>VENTA913</t>
  </si>
  <si>
    <t>VENTA930</t>
  </si>
  <si>
    <t>VENTA936</t>
  </si>
  <si>
    <t>VENTA967</t>
  </si>
  <si>
    <t>VENTA969</t>
  </si>
  <si>
    <t>VENTA997</t>
  </si>
  <si>
    <t>VENTA4</t>
  </si>
  <si>
    <t>PROD15</t>
  </si>
  <si>
    <t>VENTA22</t>
  </si>
  <si>
    <t>VENTA35</t>
  </si>
  <si>
    <t>VENTA51</t>
  </si>
  <si>
    <t>VENTA68</t>
  </si>
  <si>
    <t>VENTA88</t>
  </si>
  <si>
    <t>VENTA95</t>
  </si>
  <si>
    <t>VENTA96</t>
  </si>
  <si>
    <t>VENTA123</t>
  </si>
  <si>
    <t>VENTA140</t>
  </si>
  <si>
    <t>VENTA141</t>
  </si>
  <si>
    <t>VENTA150</t>
  </si>
  <si>
    <t>VENTA194</t>
  </si>
  <si>
    <t>VENTA198</t>
  </si>
  <si>
    <t>VENTA225</t>
  </si>
  <si>
    <t>VENTA228</t>
  </si>
  <si>
    <t>VENTA239</t>
  </si>
  <si>
    <t>VENTA240</t>
  </si>
  <si>
    <t>VENTA244</t>
  </si>
  <si>
    <t>VENTA254</t>
  </si>
  <si>
    <t>VENTA283</t>
  </si>
  <si>
    <t>VENTA287</t>
  </si>
  <si>
    <t>VENTA307</t>
  </si>
  <si>
    <t>VENTA316</t>
  </si>
  <si>
    <t>VENTA382</t>
  </si>
  <si>
    <t>VENTA431</t>
  </si>
  <si>
    <t>VENTA436</t>
  </si>
  <si>
    <t>VENTA452</t>
  </si>
  <si>
    <t>VENTA480</t>
  </si>
  <si>
    <t>VENTA500</t>
  </si>
  <si>
    <t>VENTA535</t>
  </si>
  <si>
    <t>VENTA582</t>
  </si>
  <si>
    <t>VENTA606</t>
  </si>
  <si>
    <t>VENTA617</t>
  </si>
  <si>
    <t>VENTA624</t>
  </si>
  <si>
    <t>VENTA644</t>
  </si>
  <si>
    <t>VENTA663</t>
  </si>
  <si>
    <t>VENTA677</t>
  </si>
  <si>
    <t>VENTA680</t>
  </si>
  <si>
    <t>VENTA691</t>
  </si>
  <si>
    <t>VENTA693</t>
  </si>
  <si>
    <t>VENTA733</t>
  </si>
  <si>
    <t>VENTA777</t>
  </si>
  <si>
    <t>VENTA786</t>
  </si>
  <si>
    <t>VENTA787</t>
  </si>
  <si>
    <t>VENTA789</t>
  </si>
  <si>
    <t>VENTA858</t>
  </si>
  <si>
    <t>VENTA862</t>
  </si>
  <si>
    <t>VENTA909</t>
  </si>
  <si>
    <t>VENTA921</t>
  </si>
  <si>
    <t>VENTA923</t>
  </si>
  <si>
    <t>VENTA954</t>
  </si>
  <si>
    <t>VENTA955</t>
  </si>
  <si>
    <t>VENTA5</t>
  </si>
  <si>
    <t>PROD1</t>
  </si>
  <si>
    <t>VENTA36</t>
  </si>
  <si>
    <t>VENTA63</t>
  </si>
  <si>
    <t>VENTA78</t>
  </si>
  <si>
    <t>VENTA84</t>
  </si>
  <si>
    <t>VENTA106</t>
  </si>
  <si>
    <t>VENTA111</t>
  </si>
  <si>
    <t>VENTA136</t>
  </si>
  <si>
    <t>VENTA143</t>
  </si>
  <si>
    <t>VENTA157</t>
  </si>
  <si>
    <t>VENTA158</t>
  </si>
  <si>
    <t>VENTA169</t>
  </si>
  <si>
    <t>VENTA192</t>
  </si>
  <si>
    <t>VENTA195</t>
  </si>
  <si>
    <t>VENTA200</t>
  </si>
  <si>
    <t>VENTA279</t>
  </si>
  <si>
    <t>VENTA304</t>
  </si>
  <si>
    <t>VENTA312</t>
  </si>
  <si>
    <t>VENTA346</t>
  </si>
  <si>
    <t>VENTA351</t>
  </si>
  <si>
    <t>VENTA401</t>
  </si>
  <si>
    <t>VENTA407</t>
  </si>
  <si>
    <t>VENTA415</t>
  </si>
  <si>
    <t>VENTA422</t>
  </si>
  <si>
    <t>VENTA463</t>
  </si>
  <si>
    <t>VENTA466</t>
  </si>
  <si>
    <t>VENTA511</t>
  </si>
  <si>
    <t>VENTA539</t>
  </si>
  <si>
    <t>VENTA570</t>
  </si>
  <si>
    <t>VENTA573</t>
  </si>
  <si>
    <t>VENTA588</t>
  </si>
  <si>
    <t>VENTA594</t>
  </si>
  <si>
    <t>VENTA686</t>
  </si>
  <si>
    <t>VENTA698</t>
  </si>
  <si>
    <t>VENTA702</t>
  </si>
  <si>
    <t>VENTA773</t>
  </si>
  <si>
    <t>VENTA780</t>
  </si>
  <si>
    <t>VENTA826</t>
  </si>
  <si>
    <t>VENTA855</t>
  </si>
  <si>
    <t>VENTA878</t>
  </si>
  <si>
    <t>VENTA883</t>
  </si>
  <si>
    <t>VENTA896</t>
  </si>
  <si>
    <t>VENTA933</t>
  </si>
  <si>
    <t>VENTA974</t>
  </si>
  <si>
    <t>VENTA975</t>
  </si>
  <si>
    <t>VENTA990</t>
  </si>
  <si>
    <t>VENTA998</t>
  </si>
  <si>
    <t>VENTA6</t>
  </si>
  <si>
    <t>PROD7</t>
  </si>
  <si>
    <t>VENTA26</t>
  </si>
  <si>
    <t>VENTA53</t>
  </si>
  <si>
    <t>VENTA56</t>
  </si>
  <si>
    <t>VENTA122</t>
  </si>
  <si>
    <t>VENTA193</t>
  </si>
  <si>
    <t>VENTA197</t>
  </si>
  <si>
    <t>VENTA266</t>
  </si>
  <si>
    <t>VENTA269</t>
  </si>
  <si>
    <t>VENTA271</t>
  </si>
  <si>
    <t>VENTA278</t>
  </si>
  <si>
    <t>VENTA298</t>
  </si>
  <si>
    <t>VENTA318</t>
  </si>
  <si>
    <t>VENTA326</t>
  </si>
  <si>
    <t>VENTA330</t>
  </si>
  <si>
    <t>VENTA334</t>
  </si>
  <si>
    <t>VENTA340</t>
  </si>
  <si>
    <t>VENTA354</t>
  </si>
  <si>
    <t>VENTA406</t>
  </si>
  <si>
    <t>VENTA448</t>
  </si>
  <si>
    <t>VENTA508</t>
  </si>
  <si>
    <t>VENTA514</t>
  </si>
  <si>
    <t>VENTA518</t>
  </si>
  <si>
    <t>VENTA523</t>
  </si>
  <si>
    <t>VENTA528</t>
  </si>
  <si>
    <t>VENTA530</t>
  </si>
  <si>
    <t>VENTA537</t>
  </si>
  <si>
    <t>VENTA608</t>
  </si>
  <si>
    <t>VENTA659</t>
  </si>
  <si>
    <t>VENTA670</t>
  </si>
  <si>
    <t>VENTA689</t>
  </si>
  <si>
    <t>VENTA711</t>
  </si>
  <si>
    <t>VENTA741</t>
  </si>
  <si>
    <t>VENTA749</t>
  </si>
  <si>
    <t>VENTA792</t>
  </si>
  <si>
    <t>VENTA822</t>
  </si>
  <si>
    <t>VENTA823</t>
  </si>
  <si>
    <t>VENTA836</t>
  </si>
  <si>
    <t>VENTA856</t>
  </si>
  <si>
    <t>VENTA864</t>
  </si>
  <si>
    <t>VENTA882</t>
  </si>
  <si>
    <t>VENTA888</t>
  </si>
  <si>
    <t>VENTA907</t>
  </si>
  <si>
    <t>VENTA916</t>
  </si>
  <si>
    <t>VENTA938</t>
  </si>
  <si>
    <t>VENTA965</t>
  </si>
  <si>
    <t>VENTA7</t>
  </si>
  <si>
    <t>PROD12</t>
  </si>
  <si>
    <t>VENTA12</t>
  </si>
  <si>
    <t>VENTA30</t>
  </si>
  <si>
    <t>VENTA42</t>
  </si>
  <si>
    <t>VENTA65</t>
  </si>
  <si>
    <t>VENTA76</t>
  </si>
  <si>
    <t>VENTA83</t>
  </si>
  <si>
    <t>VENTA90</t>
  </si>
  <si>
    <t>VENTA94</t>
  </si>
  <si>
    <t>VENTA98</t>
  </si>
  <si>
    <t>VENTA115</t>
  </si>
  <si>
    <t>VENTA126</t>
  </si>
  <si>
    <t>VENTA153</t>
  </si>
  <si>
    <t>VENTA196</t>
  </si>
  <si>
    <t>VENTA204</t>
  </si>
  <si>
    <t>VENTA220</t>
  </si>
  <si>
    <t>VENTA226</t>
  </si>
  <si>
    <t>VENTA234</t>
  </si>
  <si>
    <t>VENTA267</t>
  </si>
  <si>
    <t>VENTA280</t>
  </si>
  <si>
    <t>VENTA310</t>
  </si>
  <si>
    <t>VENTA360</t>
  </si>
  <si>
    <t>VENTA366</t>
  </si>
  <si>
    <t>VENTA370</t>
  </si>
  <si>
    <t>VENTA378</t>
  </si>
  <si>
    <t>VENTA386</t>
  </si>
  <si>
    <t>VENTA389</t>
  </si>
  <si>
    <t>VENTA400</t>
  </si>
  <si>
    <t>VENTA409</t>
  </si>
  <si>
    <t>VENTA435</t>
  </si>
  <si>
    <t>VENTA483</t>
  </si>
  <si>
    <t>VENTA587</t>
  </si>
  <si>
    <t>VENTA636</t>
  </si>
  <si>
    <t>VENTA654</t>
  </si>
  <si>
    <t>VENTA661</t>
  </si>
  <si>
    <t>VENTA671</t>
  </si>
  <si>
    <t>VENTA682</t>
  </si>
  <si>
    <t>VENTA690</t>
  </si>
  <si>
    <t>VENTA699</t>
  </si>
  <si>
    <t>VENTA720</t>
  </si>
  <si>
    <t>VENTA765</t>
  </si>
  <si>
    <t>VENTA831</t>
  </si>
  <si>
    <t>VENTA834</t>
  </si>
  <si>
    <t>VENTA845</t>
  </si>
  <si>
    <t>VENTA866</t>
  </si>
  <si>
    <t>VENTA876</t>
  </si>
  <si>
    <t>VENTA908</t>
  </si>
  <si>
    <t>VENTA932</t>
  </si>
  <si>
    <t>VENTA946</t>
  </si>
  <si>
    <t>VENTA963</t>
  </si>
  <si>
    <t>VENTA986</t>
  </si>
  <si>
    <t>VENTA8</t>
  </si>
  <si>
    <t>PROD17</t>
  </si>
  <si>
    <t>VENTA15</t>
  </si>
  <si>
    <t>VENTA58</t>
  </si>
  <si>
    <t>VENTA92</t>
  </si>
  <si>
    <t>VENTA93</t>
  </si>
  <si>
    <t>VENTA112</t>
  </si>
  <si>
    <t>VENTA148</t>
  </si>
  <si>
    <t>VENTA152</t>
  </si>
  <si>
    <t>VENTA201</t>
  </si>
  <si>
    <t>VENTA202</t>
  </si>
  <si>
    <t>VENTA262</t>
  </si>
  <si>
    <t>VENTA272</t>
  </si>
  <si>
    <t>VENTA292</t>
  </si>
  <si>
    <t>VENTA308</t>
  </si>
  <si>
    <t>VENTA313</t>
  </si>
  <si>
    <t>VENTA332</t>
  </si>
  <si>
    <t>VENTA357</t>
  </si>
  <si>
    <t>VENTA373</t>
  </si>
  <si>
    <t>VENTA387</t>
  </si>
  <si>
    <t>VENTA437</t>
  </si>
  <si>
    <t>VENTA516</t>
  </si>
  <si>
    <t>VENTA547</t>
  </si>
  <si>
    <t>VENTA549</t>
  </si>
  <si>
    <t>VENTA565</t>
  </si>
  <si>
    <t>VENTA567</t>
  </si>
  <si>
    <t>VENTA581</t>
  </si>
  <si>
    <t>VENTA583</t>
  </si>
  <si>
    <t>VENTA598</t>
  </si>
  <si>
    <t>VENTA619</t>
  </si>
  <si>
    <t>VENTA627</t>
  </si>
  <si>
    <t>VENTA645</t>
  </si>
  <si>
    <t>VENTA657</t>
  </si>
  <si>
    <t>VENTA660</t>
  </si>
  <si>
    <t>VENTA721</t>
  </si>
  <si>
    <t>VENTA748</t>
  </si>
  <si>
    <t>VENTA761</t>
  </si>
  <si>
    <t>VENTA772</t>
  </si>
  <si>
    <t>VENTA776</t>
  </si>
  <si>
    <t>VENTA781</t>
  </si>
  <si>
    <t>VENTA802</t>
  </si>
  <si>
    <t>VENTA805</t>
  </si>
  <si>
    <t>VENTA816</t>
  </si>
  <si>
    <t>VENTA873</t>
  </si>
  <si>
    <t>VENTA884</t>
  </si>
  <si>
    <t>VENTA889</t>
  </si>
  <si>
    <t>VENTA890</t>
  </si>
  <si>
    <t>VENTA915</t>
  </si>
  <si>
    <t>VENTA928</t>
  </si>
  <si>
    <t>VENTA9</t>
  </si>
  <si>
    <t>PROD20</t>
  </si>
  <si>
    <t>VENTA13</t>
  </si>
  <si>
    <t>VENTA54</t>
  </si>
  <si>
    <t>VENTA80</t>
  </si>
  <si>
    <t>VENTA85</t>
  </si>
  <si>
    <t>VENTA99</t>
  </si>
  <si>
    <t>VENTA105</t>
  </si>
  <si>
    <t>VENTA117</t>
  </si>
  <si>
    <t>VENTA128</t>
  </si>
  <si>
    <t>VENTA130</t>
  </si>
  <si>
    <t>VENTA252</t>
  </si>
  <si>
    <t>VENTA276</t>
  </si>
  <si>
    <t>VENTA376</t>
  </si>
  <si>
    <t>VENTA391</t>
  </si>
  <si>
    <t>VENTA398</t>
  </si>
  <si>
    <t>VENTA402</t>
  </si>
  <si>
    <t>VENTA411</t>
  </si>
  <si>
    <t>VENTA425</t>
  </si>
  <si>
    <t>VENTA433</t>
  </si>
  <si>
    <t>VENTA449</t>
  </si>
  <si>
    <t>VENTA459</t>
  </si>
  <si>
    <t>VENTA470</t>
  </si>
  <si>
    <t>VENTA486</t>
  </si>
  <si>
    <t>VENTA519</t>
  </si>
  <si>
    <t>VENTA520</t>
  </si>
  <si>
    <t>VENTA526</t>
  </si>
  <si>
    <t>VENTA551</t>
  </si>
  <si>
    <t>VENTA554</t>
  </si>
  <si>
    <t>VENTA560</t>
  </si>
  <si>
    <t>VENTA600</t>
  </si>
  <si>
    <t>VENTA605</t>
  </si>
  <si>
    <t>VENTA652</t>
  </si>
  <si>
    <t>VENTA653</t>
  </si>
  <si>
    <t>VENTA678</t>
  </si>
  <si>
    <t>VENTA717</t>
  </si>
  <si>
    <t>VENTA725</t>
  </si>
  <si>
    <t>VENTA735</t>
  </si>
  <si>
    <t>VENTA747</t>
  </si>
  <si>
    <t>VENTA755</t>
  </si>
  <si>
    <t>VENTA775</t>
  </si>
  <si>
    <t>VENTA784</t>
  </si>
  <si>
    <t>VENTA796</t>
  </si>
  <si>
    <t>VENTA815</t>
  </si>
  <si>
    <t>VENTA832</t>
  </si>
  <si>
    <t>VENTA850</t>
  </si>
  <si>
    <t>VENTA861</t>
  </si>
  <si>
    <t>VENTA917</t>
  </si>
  <si>
    <t>VENTA920</t>
  </si>
  <si>
    <t>VENTA924</t>
  </si>
  <si>
    <t>VENTA935</t>
  </si>
  <si>
    <t>VENTA939</t>
  </si>
  <si>
    <t>VENTA961</t>
  </si>
  <si>
    <t>VENTA1000</t>
  </si>
  <si>
    <t>VENTA10</t>
  </si>
  <si>
    <t>PROD5</t>
  </si>
  <si>
    <t>VENTA46</t>
  </si>
  <si>
    <t>VENTA47</t>
  </si>
  <si>
    <t>VENTA61</t>
  </si>
  <si>
    <t>VENTA62</t>
  </si>
  <si>
    <t>VENTA79</t>
  </si>
  <si>
    <t>VENTA87</t>
  </si>
  <si>
    <t>VENTA89</t>
  </si>
  <si>
    <t>VENTA91</t>
  </si>
  <si>
    <t>VENTA104</t>
  </si>
  <si>
    <t>VENTA109</t>
  </si>
  <si>
    <t>VENTA110</t>
  </si>
  <si>
    <t>VENTA139</t>
  </si>
  <si>
    <t>VENTA163</t>
  </si>
  <si>
    <t>VENTA221</t>
  </si>
  <si>
    <t>VENTA224</t>
  </si>
  <si>
    <t>VENTA293</t>
  </si>
  <si>
    <t>VENTA306</t>
  </si>
  <si>
    <t>VENTA315</t>
  </si>
  <si>
    <t>VENTA345</t>
  </si>
  <si>
    <t>VENTA359</t>
  </si>
  <si>
    <t>VENTA380</t>
  </si>
  <si>
    <t>VENTA397</t>
  </si>
  <si>
    <t>VENTA432</t>
  </si>
  <si>
    <t>VENTA493</t>
  </si>
  <si>
    <t>VENTA517</t>
  </si>
  <si>
    <t>VENTA525</t>
  </si>
  <si>
    <t>VENTA531</t>
  </si>
  <si>
    <t>VENTA532</t>
  </si>
  <si>
    <t>VENTA538</t>
  </si>
  <si>
    <t>VENTA544</t>
  </si>
  <si>
    <t>VENTA586</t>
  </si>
  <si>
    <t>VENTA589</t>
  </si>
  <si>
    <t>VENTA599</t>
  </si>
  <si>
    <t>VENTA612</t>
  </si>
  <si>
    <t>VENTA613</t>
  </si>
  <si>
    <t>VENTA685</t>
  </si>
  <si>
    <t>VENTA692</t>
  </si>
  <si>
    <t>VENTA700</t>
  </si>
  <si>
    <t>VENTA731</t>
  </si>
  <si>
    <t>VENTA738</t>
  </si>
  <si>
    <t>VENTA753</t>
  </si>
  <si>
    <t>VENTA795</t>
  </si>
  <si>
    <t>VENTA813</t>
  </si>
  <si>
    <t>VENTA814</t>
  </si>
  <si>
    <t>VENTA818</t>
  </si>
  <si>
    <t>VENTA868</t>
  </si>
  <si>
    <t>VENTA870</t>
  </si>
  <si>
    <t>VENTA872</t>
  </si>
  <si>
    <t>VENTA898</t>
  </si>
  <si>
    <t>VENTA943</t>
  </si>
  <si>
    <t>VENTA951</t>
  </si>
  <si>
    <t>VENTA977</t>
  </si>
  <si>
    <t>VENTA980</t>
  </si>
  <si>
    <t>VENTA996</t>
  </si>
  <si>
    <t>VENTA11</t>
  </si>
  <si>
    <t>PROD4</t>
  </si>
  <si>
    <t>VENTA18</t>
  </si>
  <si>
    <t>VENTA20</t>
  </si>
  <si>
    <t>VENTA24</t>
  </si>
  <si>
    <t>VENTA39</t>
  </si>
  <si>
    <t>VENTA66</t>
  </si>
  <si>
    <t>VENTA156</t>
  </si>
  <si>
    <t>VENTA177</t>
  </si>
  <si>
    <t>VENTA181</t>
  </si>
  <si>
    <t>VENTA227</t>
  </si>
  <si>
    <t>VENTA241</t>
  </si>
  <si>
    <t>VENTA245</t>
  </si>
  <si>
    <t>VENTA250</t>
  </si>
  <si>
    <t>VENTA259</t>
  </si>
  <si>
    <t>VENTA264</t>
  </si>
  <si>
    <t>VENTA275</t>
  </si>
  <si>
    <t>VENTA277</t>
  </si>
  <si>
    <t>VENTA294</t>
  </si>
  <si>
    <t>VENTA297</t>
  </si>
  <si>
    <t>VENTA302</t>
  </si>
  <si>
    <t>VENTA337</t>
  </si>
  <si>
    <t>VENTA343</t>
  </si>
  <si>
    <t>VENTA347</t>
  </si>
  <si>
    <t>VENTA355</t>
  </si>
  <si>
    <t>VENTA379</t>
  </si>
  <si>
    <t>VENTA414</t>
  </si>
  <si>
    <t>VENTA426</t>
  </si>
  <si>
    <t>VENTA464</t>
  </si>
  <si>
    <t>VENTA479</t>
  </si>
  <si>
    <t>VENTA481</t>
  </si>
  <si>
    <t>VENTA512</t>
  </si>
  <si>
    <t>VENTA513</t>
  </si>
  <si>
    <t>VENTA521</t>
  </si>
  <si>
    <t>VENTA546</t>
  </si>
  <si>
    <t>VENTA552</t>
  </si>
  <si>
    <t>VENTA603</t>
  </si>
  <si>
    <t>VENTA628</t>
  </si>
  <si>
    <t>VENTA629</t>
  </si>
  <si>
    <t>VENTA635</t>
  </si>
  <si>
    <t>VENTA703</t>
  </si>
  <si>
    <t>VENTA718</t>
  </si>
  <si>
    <t>VENTA732</t>
  </si>
  <si>
    <t>VENTA734</t>
  </si>
  <si>
    <t>VENTA745</t>
  </si>
  <si>
    <t>VENTA750</t>
  </si>
  <si>
    <t>VENTA756</t>
  </si>
  <si>
    <t>VENTA767</t>
  </si>
  <si>
    <t>VENTA771</t>
  </si>
  <si>
    <t>VENTA783</t>
  </si>
  <si>
    <t>VENTA819</t>
  </si>
  <si>
    <t>VENTA821</t>
  </si>
  <si>
    <t>VENTA827</t>
  </si>
  <si>
    <t>VENTA833</t>
  </si>
  <si>
    <t>VENTA848</t>
  </si>
  <si>
    <t>VENTA853</t>
  </si>
  <si>
    <t>VENTA880</t>
  </si>
  <si>
    <t>VENTA918</t>
  </si>
  <si>
    <t>VENTA950</t>
  </si>
  <si>
    <t>VENTA981</t>
  </si>
  <si>
    <t>VENTA994</t>
  </si>
  <si>
    <t>VENTA999</t>
  </si>
  <si>
    <t>VENTA14</t>
  </si>
  <si>
    <t>PROD18</t>
  </si>
  <si>
    <t>VENTA33</t>
  </si>
  <si>
    <t>VENTA100</t>
  </si>
  <si>
    <t>VENTA118</t>
  </si>
  <si>
    <t>VENTA121</t>
  </si>
  <si>
    <t>VENTA125</t>
  </si>
  <si>
    <t>VENTA132</t>
  </si>
  <si>
    <t>VENTA135</t>
  </si>
  <si>
    <t>VENTA146</t>
  </si>
  <si>
    <t>VENTA147</t>
  </si>
  <si>
    <t>VENTA166</t>
  </si>
  <si>
    <t>VENTA186</t>
  </si>
  <si>
    <t>VENTA233</t>
  </si>
  <si>
    <t>VENTA260</t>
  </si>
  <si>
    <t>VENTA295</t>
  </si>
  <si>
    <t>VENTA300</t>
  </si>
  <si>
    <t>VENTA305</t>
  </si>
  <si>
    <t>VENTA327</t>
  </si>
  <si>
    <t>VENTA364</t>
  </si>
  <si>
    <t>VENTA404</t>
  </si>
  <si>
    <t>VENTA416</t>
  </si>
  <si>
    <t>VENTA427</t>
  </si>
  <si>
    <t>VENTA440</t>
  </si>
  <si>
    <t>VENTA457</t>
  </si>
  <si>
    <t>VENTA460</t>
  </si>
  <si>
    <t>VENTA487</t>
  </si>
  <si>
    <t>VENTA499</t>
  </si>
  <si>
    <t>VENTA524</t>
  </si>
  <si>
    <t>VENTA541</t>
  </si>
  <si>
    <t>VENTA543</t>
  </si>
  <si>
    <t>VENTA556</t>
  </si>
  <si>
    <t>VENTA575</t>
  </si>
  <si>
    <t>VENTA625</t>
  </si>
  <si>
    <t>VENTA633</t>
  </si>
  <si>
    <t>VENTA647</t>
  </si>
  <si>
    <t>VENTA651</t>
  </si>
  <si>
    <t>VENTA664</t>
  </si>
  <si>
    <t>VENTA675</t>
  </si>
  <si>
    <t>VENTA679</t>
  </si>
  <si>
    <t>VENTA758</t>
  </si>
  <si>
    <t>VENTA774</t>
  </si>
  <si>
    <t>VENTA798</t>
  </si>
  <si>
    <t>VENTA824</t>
  </si>
  <si>
    <t>VENTA851</t>
  </si>
  <si>
    <t>VENTA854</t>
  </si>
  <si>
    <t>VENTA859</t>
  </si>
  <si>
    <t>VENTA869</t>
  </si>
  <si>
    <t>VENTA879</t>
  </si>
  <si>
    <t>VENTA940</t>
  </si>
  <si>
    <t>VENTA959</t>
  </si>
  <si>
    <t>VENTA970</t>
  </si>
  <si>
    <t>VENTA17</t>
  </si>
  <si>
    <t>PROD9</t>
  </si>
  <si>
    <t>VENTA50</t>
  </si>
  <si>
    <t>VENTA77</t>
  </si>
  <si>
    <t>VENTA103</t>
  </si>
  <si>
    <t>VENTA164</t>
  </si>
  <si>
    <t>VENTA168</t>
  </si>
  <si>
    <t>VENTA170</t>
  </si>
  <si>
    <t>VENTA173</t>
  </si>
  <si>
    <t>VENTA175</t>
  </si>
  <si>
    <t>VENTA188</t>
  </si>
  <si>
    <t>VENTA214</t>
  </si>
  <si>
    <t>VENTA285</t>
  </si>
  <si>
    <t>VENTA286</t>
  </si>
  <si>
    <t>VENTA321</t>
  </si>
  <si>
    <t>VENTA331</t>
  </si>
  <si>
    <t>VENTA349</t>
  </si>
  <si>
    <t>VENTA353</t>
  </si>
  <si>
    <t>VENTA419</t>
  </si>
  <si>
    <t>VENTA421</t>
  </si>
  <si>
    <t>VENTA451</t>
  </si>
  <si>
    <t>VENTA473</t>
  </si>
  <si>
    <t>VENTA501</t>
  </si>
  <si>
    <t>VENTA503</t>
  </si>
  <si>
    <t>VENTA505</t>
  </si>
  <si>
    <t>VENTA559</t>
  </si>
  <si>
    <t>VENTA566</t>
  </si>
  <si>
    <t>VENTA568</t>
  </si>
  <si>
    <t>VENTA569</t>
  </si>
  <si>
    <t>VENTA622</t>
  </si>
  <si>
    <t>VENTA631</t>
  </si>
  <si>
    <t>VENTA632</t>
  </si>
  <si>
    <t>VENTA648</t>
  </si>
  <si>
    <t>VENTA662</t>
  </si>
  <si>
    <t>VENTA713</t>
  </si>
  <si>
    <t>VENTA716</t>
  </si>
  <si>
    <t>VENTA793</t>
  </si>
  <si>
    <t>VENTA829</t>
  </si>
  <si>
    <t>VENTA846</t>
  </si>
  <si>
    <t>VENTA877</t>
  </si>
  <si>
    <t>VENTA887</t>
  </si>
  <si>
    <t>VENTA926</t>
  </si>
  <si>
    <t>VENTA949</t>
  </si>
  <si>
    <t>VENTA953</t>
  </si>
  <si>
    <t>VENTA985</t>
  </si>
  <si>
    <t>VENTA19</t>
  </si>
  <si>
    <t>PROD2</t>
  </si>
  <si>
    <t>VENTA21</t>
  </si>
  <si>
    <t>VENTA23</t>
  </si>
  <si>
    <t>VENTA45</t>
  </si>
  <si>
    <t>VENTA55</t>
  </si>
  <si>
    <t>VENTA59</t>
  </si>
  <si>
    <t>VENTA102</t>
  </si>
  <si>
    <t>VENTA120</t>
  </si>
  <si>
    <t>VENTA142</t>
  </si>
  <si>
    <t>VENTA165</t>
  </si>
  <si>
    <t>VENTA178</t>
  </si>
  <si>
    <t>VENTA185</t>
  </si>
  <si>
    <t>VENTA212</t>
  </si>
  <si>
    <t>VENTA218</t>
  </si>
  <si>
    <t>VENTA222</t>
  </si>
  <si>
    <t>VENTA248</t>
  </si>
  <si>
    <t>VENTA261</t>
  </si>
  <si>
    <t>VENTA311</t>
  </si>
  <si>
    <t>VENTA324</t>
  </si>
  <si>
    <t>VENTA358</t>
  </si>
  <si>
    <t>VENTA369</t>
  </si>
  <si>
    <t>VENTA371</t>
  </si>
  <si>
    <t>VENTA375</t>
  </si>
  <si>
    <t>VENTA412</t>
  </si>
  <si>
    <t>VENTA418</t>
  </si>
  <si>
    <t>VENTA420</t>
  </si>
  <si>
    <t>VENTA454</t>
  </si>
  <si>
    <t>VENTA455</t>
  </si>
  <si>
    <t>VENTA462</t>
  </si>
  <si>
    <t>VENTA476</t>
  </si>
  <si>
    <t>VENTA478</t>
  </si>
  <si>
    <t>VENTA490</t>
  </si>
  <si>
    <t>VENTA495</t>
  </si>
  <si>
    <t>VENTA497</t>
  </si>
  <si>
    <t>VENTA533</t>
  </si>
  <si>
    <t>VENTA553</t>
  </si>
  <si>
    <t>VENTA571</t>
  </si>
  <si>
    <t>VENTA578</t>
  </si>
  <si>
    <t>VENTA623</t>
  </si>
  <si>
    <t>VENTA638</t>
  </si>
  <si>
    <t>VENTA641</t>
  </si>
  <si>
    <t>VENTA676</t>
  </si>
  <si>
    <t>VENTA707</t>
  </si>
  <si>
    <t>VENTA712</t>
  </si>
  <si>
    <t>VENTA724</t>
  </si>
  <si>
    <t>VENTA757</t>
  </si>
  <si>
    <t>VENTA885</t>
  </si>
  <si>
    <t>VENTA891</t>
  </si>
  <si>
    <t>VENTA895</t>
  </si>
  <si>
    <t>VENTA899</t>
  </si>
  <si>
    <t>VENTA901</t>
  </si>
  <si>
    <t>VENTA903</t>
  </si>
  <si>
    <t>VENTA929</t>
  </si>
  <si>
    <t>VENTA964</t>
  </si>
  <si>
    <t>VENTA993</t>
  </si>
  <si>
    <t>VENTA25</t>
  </si>
  <si>
    <t>PROD6</t>
  </si>
  <si>
    <t>VENTA48</t>
  </si>
  <si>
    <t>VENTA57</t>
  </si>
  <si>
    <t>VENTA97</t>
  </si>
  <si>
    <t>VENTA108</t>
  </si>
  <si>
    <t>VENTA127</t>
  </si>
  <si>
    <t>VENTA138</t>
  </si>
  <si>
    <t>VENTA167</t>
  </si>
  <si>
    <t>VENTA179</t>
  </si>
  <si>
    <t>VENTA182</t>
  </si>
  <si>
    <t>VENTA184</t>
  </si>
  <si>
    <t>VENTA205</t>
  </si>
  <si>
    <t>VENTA219</t>
  </si>
  <si>
    <t>VENTA231</t>
  </si>
  <si>
    <t>VENTA338</t>
  </si>
  <si>
    <t>VENTA352</t>
  </si>
  <si>
    <t>VENTA362</t>
  </si>
  <si>
    <t>VENTA368</t>
  </si>
  <si>
    <t>VENTA372</t>
  </si>
  <si>
    <t>VENTA403</t>
  </si>
  <si>
    <t>VENTA410</t>
  </si>
  <si>
    <t>VENTA428</t>
  </si>
  <si>
    <t>VENTA439</t>
  </si>
  <si>
    <t>VENTA445</t>
  </si>
  <si>
    <t>VENTA474</t>
  </si>
  <si>
    <t>VENTA488</t>
  </si>
  <si>
    <t>VENTA522</t>
  </si>
  <si>
    <t>VENTA534</t>
  </si>
  <si>
    <t>VENTA561</t>
  </si>
  <si>
    <t>VENTA616</t>
  </si>
  <si>
    <t>VENTA729</t>
  </si>
  <si>
    <t>VENTA739</t>
  </si>
  <si>
    <t>VENTA743</t>
  </si>
  <si>
    <t>VENTA766</t>
  </si>
  <si>
    <t>VENTA782</t>
  </si>
  <si>
    <t>VENTA788</t>
  </si>
  <si>
    <t>VENTA804</t>
  </si>
  <si>
    <t>VENTA820</t>
  </si>
  <si>
    <t>VENTA828</t>
  </si>
  <si>
    <t>VENTA844</t>
  </si>
  <si>
    <t>VENTA857</t>
  </si>
  <si>
    <t>VENTA892</t>
  </si>
  <si>
    <t>VENTA894</t>
  </si>
  <si>
    <t>VENTA911</t>
  </si>
  <si>
    <t>VENTA937</t>
  </si>
  <si>
    <t>VENTA962</t>
  </si>
  <si>
    <t>VENTA973</t>
  </si>
  <si>
    <t>VENTA982</t>
  </si>
  <si>
    <t>VENTA995</t>
  </si>
  <si>
    <t>VENTA32</t>
  </si>
  <si>
    <t>PROD13</t>
  </si>
  <si>
    <t>VENTA49</t>
  </si>
  <si>
    <t>VENTA67</t>
  </si>
  <si>
    <t>VENTA129</t>
  </si>
  <si>
    <t>VENTA172</t>
  </si>
  <si>
    <t>VENTA174</t>
  </si>
  <si>
    <t>VENTA187</t>
  </si>
  <si>
    <t>VENTA190</t>
  </si>
  <si>
    <t>VENTA236</t>
  </si>
  <si>
    <t>VENTA246</t>
  </si>
  <si>
    <t>VENTA263</t>
  </si>
  <si>
    <t>VENTA270</t>
  </si>
  <si>
    <t>VENTA281</t>
  </si>
  <si>
    <t>VENTA284</t>
  </si>
  <si>
    <t>VENTA323</t>
  </si>
  <si>
    <t>VENTA341</t>
  </si>
  <si>
    <t>VENTA356</t>
  </si>
  <si>
    <t>VENTA381</t>
  </si>
  <si>
    <t>VENTA394</t>
  </si>
  <si>
    <t>VENTA417</t>
  </si>
  <si>
    <t>VENTA441</t>
  </si>
  <si>
    <t>VENTA475</t>
  </si>
  <si>
    <t>VENTA482</t>
  </si>
  <si>
    <t>VENTA484</t>
  </si>
  <si>
    <t>VENTA540</t>
  </si>
  <si>
    <t>VENTA542</t>
  </si>
  <si>
    <t>VENTA545</t>
  </si>
  <si>
    <t>VENTA564</t>
  </si>
  <si>
    <t>VENTA584</t>
  </si>
  <si>
    <t>VENTA591</t>
  </si>
  <si>
    <t>VENTA595</t>
  </si>
  <si>
    <t>VENTA639</t>
  </si>
  <si>
    <t>VENTA665</t>
  </si>
  <si>
    <t>VENTA674</t>
  </si>
  <si>
    <t>VENTA683</t>
  </si>
  <si>
    <t>VENTA715</t>
  </si>
  <si>
    <t>VENTA746</t>
  </si>
  <si>
    <t>VENTA764</t>
  </si>
  <si>
    <t>VENTA770</t>
  </si>
  <si>
    <t>VENTA779</t>
  </si>
  <si>
    <t>VENTA800</t>
  </si>
  <si>
    <t>VENTA803</t>
  </si>
  <si>
    <t>VENTA806</t>
  </si>
  <si>
    <t>VENTA843</t>
  </si>
  <si>
    <t>VENTA847</t>
  </si>
  <si>
    <t>VENTA968</t>
  </si>
  <si>
    <t>VENTA991</t>
  </si>
  <si>
    <t>VENTA992</t>
  </si>
  <si>
    <t>VENTA34</t>
  </si>
  <si>
    <t>PROD8</t>
  </si>
  <si>
    <t>VENTA38</t>
  </si>
  <si>
    <t>VENTA64</t>
  </si>
  <si>
    <t>VENTA81</t>
  </si>
  <si>
    <t>VENTA134</t>
  </si>
  <si>
    <t>VENTA137</t>
  </si>
  <si>
    <t>VENTA149</t>
  </si>
  <si>
    <t>VENTA151</t>
  </si>
  <si>
    <t>VENTA154</t>
  </si>
  <si>
    <t>VENTA208</t>
  </si>
  <si>
    <t>VENTA216</t>
  </si>
  <si>
    <t>VENTA256</t>
  </si>
  <si>
    <t>VENTA290</t>
  </si>
  <si>
    <t>VENTA344</t>
  </si>
  <si>
    <t>VENTA350</t>
  </si>
  <si>
    <t>VENTA361</t>
  </si>
  <si>
    <t>VENTA363</t>
  </si>
  <si>
    <t>VENTA377</t>
  </si>
  <si>
    <t>VENTA390</t>
  </si>
  <si>
    <t>VENTA396</t>
  </si>
  <si>
    <t>VENTA399</t>
  </si>
  <si>
    <t>VENTA405</t>
  </si>
  <si>
    <t>VENTA477</t>
  </si>
  <si>
    <t>VENTA515</t>
  </si>
  <si>
    <t>VENTA557</t>
  </si>
  <si>
    <t>VENTA576</t>
  </si>
  <si>
    <t>VENTA579</t>
  </si>
  <si>
    <t>VENTA580</t>
  </si>
  <si>
    <t>VENTA590</t>
  </si>
  <si>
    <t>VENTA592</t>
  </si>
  <si>
    <t>VENTA601</t>
  </si>
  <si>
    <t>VENTA614</t>
  </si>
  <si>
    <t>VENTA620</t>
  </si>
  <si>
    <t>VENTA621</t>
  </si>
  <si>
    <t>VENTA637</t>
  </si>
  <si>
    <t>VENTA646</t>
  </si>
  <si>
    <t>VENTA649</t>
  </si>
  <si>
    <t>VENTA666</t>
  </si>
  <si>
    <t>VENTA668</t>
  </si>
  <si>
    <t>VENTA694</t>
  </si>
  <si>
    <t>VENTA697</t>
  </si>
  <si>
    <t>VENTA704</t>
  </si>
  <si>
    <t>VENTA740</t>
  </si>
  <si>
    <t>VENTA910</t>
  </si>
  <si>
    <t>VENTA922</t>
  </si>
  <si>
    <t>VENTA927</t>
  </si>
  <si>
    <t>VENTA931</t>
  </si>
  <si>
    <t>VENTA948</t>
  </si>
  <si>
    <t>VENTA952</t>
  </si>
  <si>
    <t>VENTA958</t>
  </si>
  <si>
    <t>VENTA972</t>
  </si>
  <si>
    <t>VENTA976</t>
  </si>
  <si>
    <t>VENTA40</t>
  </si>
  <si>
    <t>PROD16</t>
  </si>
  <si>
    <t>VENTA73</t>
  </si>
  <si>
    <t>VENTA131</t>
  </si>
  <si>
    <t>VENTA160</t>
  </si>
  <si>
    <t>VENTA162</t>
  </si>
  <si>
    <t>VENTA171</t>
  </si>
  <si>
    <t>VENTA217</t>
  </si>
  <si>
    <t>VENTA223</t>
  </si>
  <si>
    <t>VENTA230</t>
  </si>
  <si>
    <t>VENTA238</t>
  </si>
  <si>
    <t>VENTA251</t>
  </si>
  <si>
    <t>VENTA257</t>
  </si>
  <si>
    <t>VENTA291</t>
  </si>
  <si>
    <t>VENTA314</t>
  </si>
  <si>
    <t>VENTA383</t>
  </si>
  <si>
    <t>VENTA385</t>
  </si>
  <si>
    <t>VENTA388</t>
  </si>
  <si>
    <t>VENTA393</t>
  </si>
  <si>
    <t>VENTA408</t>
  </si>
  <si>
    <t>VENTA447</t>
  </si>
  <si>
    <t>VENTA468</t>
  </si>
  <si>
    <t>VENTA509</t>
  </si>
  <si>
    <t>VENTA510</t>
  </si>
  <si>
    <t>VENTA555</t>
  </si>
  <si>
    <t>VENTA572</t>
  </si>
  <si>
    <t>VENTA618</t>
  </si>
  <si>
    <t>VENTA640</t>
  </si>
  <si>
    <t>VENTA696</t>
  </si>
  <si>
    <t>VENTA714</t>
  </si>
  <si>
    <t>VENTA727</t>
  </si>
  <si>
    <t>VENTA754</t>
  </si>
  <si>
    <t>VENTA769</t>
  </si>
  <si>
    <t>VENTA785</t>
  </si>
  <si>
    <t>VENTA794</t>
  </si>
  <si>
    <t>VENTA840</t>
  </si>
  <si>
    <t>VENTA841</t>
  </si>
  <si>
    <t>VENTA863</t>
  </si>
  <si>
    <t>VENTA900</t>
  </si>
  <si>
    <t>VENTA904</t>
  </si>
  <si>
    <t>VENTA905</t>
  </si>
  <si>
    <t>VENTA956</t>
  </si>
  <si>
    <t>VENTA966</t>
  </si>
  <si>
    <t>VENTA978</t>
  </si>
  <si>
    <t>VENTA989</t>
  </si>
  <si>
    <t>VENTA43</t>
  </si>
  <si>
    <t>PROD14</t>
  </si>
  <si>
    <t>VENTA44</t>
  </si>
  <si>
    <t>VENTA52</t>
  </si>
  <si>
    <t>VENTA72</t>
  </si>
  <si>
    <t>VENTA101</t>
  </si>
  <si>
    <t>VENTA114</t>
  </si>
  <si>
    <t>VENTA155</t>
  </si>
  <si>
    <t>VENTA161</t>
  </si>
  <si>
    <t>VENTA180</t>
  </si>
  <si>
    <t>VENTA209</t>
  </si>
  <si>
    <t>VENTA210</t>
  </si>
  <si>
    <t>VENTA213</t>
  </si>
  <si>
    <t>VENTA232</t>
  </si>
  <si>
    <t>VENTA249</t>
  </si>
  <si>
    <t>VENTA253</t>
  </si>
  <si>
    <t>VENTA322</t>
  </si>
  <si>
    <t>VENTA335</t>
  </si>
  <si>
    <t>VENTA342</t>
  </si>
  <si>
    <t>VENTA413</t>
  </si>
  <si>
    <t>VENTA444</t>
  </si>
  <si>
    <t>VENTA450</t>
  </si>
  <si>
    <t>VENTA458</t>
  </si>
  <si>
    <t>VENTA465</t>
  </si>
  <si>
    <t>VENTA467</t>
  </si>
  <si>
    <t>VENTA469</t>
  </si>
  <si>
    <t>VENTA485</t>
  </si>
  <si>
    <t>VENTA506</t>
  </si>
  <si>
    <t>VENTA529</t>
  </si>
  <si>
    <t>VENTA602</t>
  </si>
  <si>
    <t>VENTA630</t>
  </si>
  <si>
    <t>VENTA650</t>
  </si>
  <si>
    <t>VENTA656</t>
  </si>
  <si>
    <t>VENTA667</t>
  </si>
  <si>
    <t>VENTA669</t>
  </si>
  <si>
    <t>VENTA710</t>
  </si>
  <si>
    <t>VENTA722</t>
  </si>
  <si>
    <t>VENTA723</t>
  </si>
  <si>
    <t>VENTA744</t>
  </si>
  <si>
    <t>VENTA751</t>
  </si>
  <si>
    <t>VENTA762</t>
  </si>
  <si>
    <t>VENTA790</t>
  </si>
  <si>
    <t>VENTA811</t>
  </si>
  <si>
    <t>VENTA830</t>
  </si>
  <si>
    <t>VENTA838</t>
  </si>
  <si>
    <t>VENTA867</t>
  </si>
  <si>
    <t>VENTA893</t>
  </si>
  <si>
    <t>VENTA919</t>
  </si>
  <si>
    <t>VENTA925</t>
  </si>
  <si>
    <t>VENTA957</t>
  </si>
  <si>
    <t>VENTA983</t>
  </si>
  <si>
    <t>VENTA988</t>
  </si>
  <si>
    <t>VENTA69</t>
  </si>
  <si>
    <t>PROD11</t>
  </si>
  <si>
    <t>VENTA82</t>
  </si>
  <si>
    <t>VENTA86</t>
  </si>
  <si>
    <t>VENTA119</t>
  </si>
  <si>
    <t>VENTA124</t>
  </si>
  <si>
    <t>VENTA144</t>
  </si>
  <si>
    <t>VENTA176</t>
  </si>
  <si>
    <t>VENTA191</t>
  </si>
  <si>
    <t>VENTA206</t>
  </si>
  <si>
    <t>VENTA229</t>
  </si>
  <si>
    <t>VENTA235</t>
  </si>
  <si>
    <t>VENTA237</t>
  </si>
  <si>
    <t>VENTA242</t>
  </si>
  <si>
    <t>VENTA265</t>
  </si>
  <si>
    <t>VENTA319</t>
  </si>
  <si>
    <t>VENTA333</t>
  </si>
  <si>
    <t>VENTA423</t>
  </si>
  <si>
    <t>VENTA430</t>
  </si>
  <si>
    <t>VENTA489</t>
  </si>
  <si>
    <t>VENTA498</t>
  </si>
  <si>
    <t>VENTA550</t>
  </si>
  <si>
    <t>VENTA577</t>
  </si>
  <si>
    <t>VENTA593</t>
  </si>
  <si>
    <t>VENTA604</t>
  </si>
  <si>
    <t>VENTA611</t>
  </si>
  <si>
    <t>VENTA642</t>
  </si>
  <si>
    <t>VENTA672</t>
  </si>
  <si>
    <t>VENTA673</t>
  </si>
  <si>
    <t>VENTA684</t>
  </si>
  <si>
    <t>VENTA708</t>
  </si>
  <si>
    <t>VENTA726</t>
  </si>
  <si>
    <t>VENTA778</t>
  </si>
  <si>
    <t>VENTA791</t>
  </si>
  <si>
    <t>VENTA801</t>
  </si>
  <si>
    <t>VENTA849</t>
  </si>
  <si>
    <t>VENTA852</t>
  </si>
  <si>
    <t>VENTA860</t>
  </si>
  <si>
    <t>VENTA886</t>
  </si>
  <si>
    <t>VENTA941</t>
  </si>
  <si>
    <t>VENTA945</t>
  </si>
  <si>
    <t>VENTA971</t>
  </si>
  <si>
    <t>VENTA979</t>
  </si>
  <si>
    <t>VENTA987</t>
  </si>
  <si>
    <t>Nombre Sucursal</t>
  </si>
  <si>
    <t>Bogotá</t>
  </si>
  <si>
    <t>Medellín</t>
  </si>
  <si>
    <t>Cali</t>
  </si>
  <si>
    <t>Nombre Producto</t>
  </si>
  <si>
    <t>Wait</t>
  </si>
  <si>
    <t>Be</t>
  </si>
  <si>
    <t>According</t>
  </si>
  <si>
    <t>Limpieza</t>
  </si>
  <si>
    <t>Administration</t>
  </si>
  <si>
    <t>Court</t>
  </si>
  <si>
    <t>Sport</t>
  </si>
  <si>
    <t>Authority</t>
  </si>
  <si>
    <t>North</t>
  </si>
  <si>
    <t>Film</t>
  </si>
  <si>
    <t>However</t>
  </si>
  <si>
    <t>Join</t>
  </si>
  <si>
    <t>Base</t>
  </si>
  <si>
    <t>Significant</t>
  </si>
  <si>
    <t>Bed</t>
  </si>
  <si>
    <t>Light</t>
  </si>
  <si>
    <t>Matter</t>
  </si>
  <si>
    <t>Protect</t>
  </si>
  <si>
    <t>Nation</t>
  </si>
  <si>
    <t>Ipiales</t>
  </si>
  <si>
    <t>Pasto</t>
  </si>
  <si>
    <t>Samaniego</t>
  </si>
  <si>
    <t>Sandoná</t>
  </si>
  <si>
    <t>Mes Español</t>
  </si>
  <si>
    <t>Abril</t>
  </si>
  <si>
    <t>Agosto</t>
  </si>
  <si>
    <t>Diciembre</t>
  </si>
  <si>
    <t>Enero</t>
  </si>
  <si>
    <t>Febrero</t>
  </si>
  <si>
    <t>Julio</t>
  </si>
  <si>
    <t>Junio</t>
  </si>
  <si>
    <t>Marzo</t>
  </si>
  <si>
    <t>Mayo</t>
  </si>
  <si>
    <t>Noviembre</t>
  </si>
  <si>
    <t>Octubre</t>
  </si>
  <si>
    <t>Septiembre</t>
  </si>
  <si>
    <t>Suma de Total Venta</t>
  </si>
  <si>
    <t>Suma de Cantidad</t>
  </si>
  <si>
    <t>Categoria</t>
  </si>
  <si>
    <t>Genero</t>
  </si>
  <si>
    <t>Ventas</t>
  </si>
  <si>
    <t>Meta</t>
  </si>
  <si>
    <t>Cumplimiento</t>
  </si>
  <si>
    <t>%</t>
  </si>
  <si>
    <t>Imagen</t>
  </si>
  <si>
    <t>img</t>
  </si>
  <si>
    <t>cat</t>
  </si>
  <si>
    <t>Media</t>
  </si>
  <si>
    <t>Error típico</t>
  </si>
  <si>
    <t>Mediana</t>
  </si>
  <si>
    <t>Moda</t>
  </si>
  <si>
    <t>Desviación estándar</t>
  </si>
  <si>
    <t>Varianza de la muestra</t>
  </si>
  <si>
    <t>Curtosis</t>
  </si>
  <si>
    <t>Coeficiente de asimetría</t>
  </si>
  <si>
    <t>Rango</t>
  </si>
  <si>
    <t>Mínimo</t>
  </si>
  <si>
    <t>Máximo</t>
  </si>
  <si>
    <t>Suma</t>
  </si>
  <si>
    <t>Cuenta</t>
  </si>
  <si>
    <t>Valor venta</t>
  </si>
  <si>
    <t>Cantidad Vendida</t>
  </si>
  <si>
    <t>Meta $2.500.000</t>
  </si>
  <si>
    <t>F (Frecuencia Acumulada)</t>
  </si>
  <si>
    <t>H% (Porcentaje acumulado)</t>
  </si>
  <si>
    <t>f (frecuencia)</t>
  </si>
  <si>
    <t>h% (porcentaje)</t>
  </si>
  <si>
    <t>Funcionalidades utilizadas: Power Pivot, botones lógicos, funcionalidad Indice, Macros, Visual Basic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</si>
</sst>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  <numFmt numFmtId="165" formatCode="0.0%"/>
    <numFmt numFmtId="166" formatCode="&quot;$&quot;\ #,##0"/>
    <numFmt numFmtId="167" formatCode="#,##0.0"/>
  </numFmts>
  <fonts count="9" x14ac:knownFonts="1">
    <font>
      <sz val="10"/>
      <color rgb="FF000000"/>
      <name val="Arial"/>
      <scheme val="minor"/>
    </font>
    <font>
      <sz val="10"/>
      <color rgb="FF000000"/>
      <name val="Arial"/>
      <family val="2"/>
      <scheme val="minor"/>
    </font>
    <font>
      <sz val="11"/>
      <color rgb="FF006100"/>
      <name val="Arial"/>
      <family val="2"/>
      <scheme val="minor"/>
    </font>
    <font>
      <sz val="12"/>
      <color rgb="FF000000"/>
      <name val="Arial"/>
      <family val="2"/>
      <scheme val="minor"/>
    </font>
    <font>
      <sz val="14"/>
      <color rgb="FF000000"/>
      <name val="Arial"/>
      <family val="2"/>
      <scheme val="minor"/>
    </font>
    <font>
      <sz val="2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12"/>
      <color rgb="FF000000"/>
      <name val="Arial"/>
      <family val="2"/>
      <scheme val="minor"/>
    </font>
    <font>
      <sz val="8"/>
      <color rgb="FF00000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7" tint="-0.249977111117893"/>
      </left>
      <right style="thin">
        <color theme="7" tint="-0.249977111117893"/>
      </right>
      <top style="thin">
        <color theme="7" tint="-0.249977111117893"/>
      </top>
      <bottom style="thin">
        <color theme="7" tint="-0.249977111117893"/>
      </bottom>
      <diagonal/>
    </border>
    <border>
      <left style="thin">
        <color theme="7" tint="-0.249977111117893"/>
      </left>
      <right/>
      <top style="thin">
        <color theme="7" tint="-0.249977111117893"/>
      </top>
      <bottom/>
      <diagonal/>
    </border>
    <border>
      <left/>
      <right style="thin">
        <color theme="7" tint="-0.249977111117893"/>
      </right>
      <top style="thin">
        <color theme="7" tint="-0.249977111117893"/>
      </top>
      <bottom/>
      <diagonal/>
    </border>
    <border>
      <left style="thin">
        <color theme="7" tint="-0.249977111117893"/>
      </left>
      <right/>
      <top/>
      <bottom style="thin">
        <color theme="7" tint="-0.249977111117893"/>
      </bottom>
      <diagonal/>
    </border>
    <border>
      <left/>
      <right style="thin">
        <color theme="7" tint="-0.249977111117893"/>
      </right>
      <top/>
      <bottom style="thin">
        <color theme="7" tint="-0.249977111117893"/>
      </bottom>
      <diagonal/>
    </border>
    <border>
      <left style="thin">
        <color theme="7" tint="-0.249977111117893"/>
      </left>
      <right/>
      <top style="thin">
        <color theme="7" tint="-0.249977111117893"/>
      </top>
      <bottom style="thin">
        <color theme="7" tint="-0.249977111117893"/>
      </bottom>
      <diagonal/>
    </border>
    <border>
      <left/>
      <right style="thin">
        <color theme="7" tint="-0.249977111117893"/>
      </right>
      <top style="thin">
        <color theme="7" tint="-0.249977111117893"/>
      </top>
      <bottom style="thin">
        <color theme="7" tint="-0.249977111117893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3" borderId="0" applyNumberFormat="0" applyBorder="0" applyAlignment="0" applyProtection="0"/>
  </cellStyleXfs>
  <cellXfs count="58">
    <xf numFmtId="0" fontId="0" fillId="0" borderId="0" xfId="0" applyFont="1" applyAlignment="1"/>
    <xf numFmtId="0" fontId="1" fillId="0" borderId="0" xfId="0" applyFont="1" applyAlignment="1"/>
    <xf numFmtId="0" fontId="0" fillId="0" borderId="0" xfId="0" pivotButton="1" applyFont="1" applyAlignment="1"/>
    <xf numFmtId="0" fontId="0" fillId="0" borderId="0" xfId="0" applyNumberFormat="1" applyFont="1" applyAlignment="1"/>
    <xf numFmtId="0" fontId="0" fillId="0" borderId="0" xfId="0" applyFont="1" applyAlignment="1">
      <alignment horizontal="left"/>
    </xf>
    <xf numFmtId="14" fontId="0" fillId="0" borderId="0" xfId="0" applyNumberFormat="1" applyFont="1" applyAlignment="1"/>
    <xf numFmtId="0" fontId="1" fillId="0" borderId="0" xfId="0" applyNumberFormat="1" applyFont="1" applyAlignment="1"/>
    <xf numFmtId="0" fontId="0" fillId="0" borderId="0" xfId="0" applyFont="1" applyBorder="1" applyAlignment="1">
      <alignment horizontal="left"/>
    </xf>
    <xf numFmtId="0" fontId="0" fillId="0" borderId="0" xfId="0" applyNumberFormat="1" applyFont="1" applyBorder="1" applyAlignment="1"/>
    <xf numFmtId="49" fontId="0" fillId="0" borderId="0" xfId="0" applyNumberFormat="1" applyFont="1" applyAlignment="1">
      <alignment horizontal="right"/>
    </xf>
    <xf numFmtId="49" fontId="1" fillId="0" borderId="0" xfId="0" applyNumberFormat="1" applyFont="1" applyAlignment="1">
      <alignment horizontal="right"/>
    </xf>
    <xf numFmtId="0" fontId="0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2" borderId="1" xfId="0" applyFont="1" applyFill="1" applyBorder="1" applyAlignment="1"/>
    <xf numFmtId="164" fontId="0" fillId="2" borderId="1" xfId="1" applyNumberFormat="1" applyFont="1" applyFill="1" applyBorder="1" applyAlignment="1"/>
    <xf numFmtId="165" fontId="0" fillId="2" borderId="1" xfId="2" applyNumberFormat="1" applyFont="1" applyFill="1" applyBorder="1" applyAlignment="1"/>
    <xf numFmtId="0" fontId="0" fillId="2" borderId="4" xfId="0" applyFont="1" applyFill="1" applyBorder="1" applyAlignment="1"/>
    <xf numFmtId="0" fontId="0" fillId="2" borderId="0" xfId="0" applyFont="1" applyFill="1" applyBorder="1" applyAlignment="1"/>
    <xf numFmtId="0" fontId="0" fillId="2" borderId="6" xfId="0" applyFont="1" applyFill="1" applyBorder="1" applyAlignment="1"/>
    <xf numFmtId="9" fontId="0" fillId="2" borderId="0" xfId="0" applyNumberFormat="1" applyFont="1" applyFill="1" applyBorder="1" applyAlignment="1"/>
    <xf numFmtId="0" fontId="0" fillId="2" borderId="3" xfId="0" applyFont="1" applyFill="1" applyBorder="1" applyAlignment="1"/>
    <xf numFmtId="0" fontId="0" fillId="2" borderId="5" xfId="0" applyFont="1" applyFill="1" applyBorder="1" applyAlignment="1"/>
    <xf numFmtId="0" fontId="0" fillId="2" borderId="2" xfId="0" applyFont="1" applyFill="1" applyBorder="1" applyAlignment="1"/>
    <xf numFmtId="0" fontId="0" fillId="0" borderId="7" xfId="0" pivotButton="1" applyFont="1" applyBorder="1" applyAlignment="1"/>
    <xf numFmtId="0" fontId="0" fillId="0" borderId="7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0" fontId="0" fillId="0" borderId="9" xfId="0" applyFont="1" applyBorder="1" applyAlignment="1">
      <alignment horizontal="left"/>
    </xf>
    <xf numFmtId="164" fontId="0" fillId="0" borderId="0" xfId="0" applyNumberFormat="1" applyFont="1" applyAlignment="1"/>
    <xf numFmtId="3" fontId="0" fillId="0" borderId="0" xfId="0" applyNumberFormat="1" applyFont="1" applyAlignment="1"/>
    <xf numFmtId="0" fontId="0" fillId="0" borderId="12" xfId="0" applyFont="1" applyBorder="1" applyAlignment="1"/>
    <xf numFmtId="0" fontId="1" fillId="0" borderId="12" xfId="0" applyFont="1" applyBorder="1" applyAlignment="1"/>
    <xf numFmtId="0" fontId="1" fillId="4" borderId="0" xfId="0" applyFont="1" applyFill="1" applyAlignment="1"/>
    <xf numFmtId="0" fontId="1" fillId="4" borderId="0" xfId="0" applyFont="1" applyFill="1" applyBorder="1" applyAlignment="1">
      <alignment horizontal="center" vertical="center"/>
    </xf>
    <xf numFmtId="0" fontId="1" fillId="4" borderId="0" xfId="0" applyFont="1" applyFill="1" applyAlignment="1" applyProtection="1"/>
    <xf numFmtId="0" fontId="4" fillId="4" borderId="1" xfId="0" applyFont="1" applyFill="1" applyBorder="1" applyAlignment="1">
      <alignment horizontal="center" vertical="center"/>
    </xf>
    <xf numFmtId="0" fontId="0" fillId="0" borderId="12" xfId="0" applyFill="1" applyBorder="1" applyAlignment="1"/>
    <xf numFmtId="167" fontId="0" fillId="0" borderId="12" xfId="0" applyNumberFormat="1" applyFill="1" applyBorder="1" applyAlignment="1"/>
    <xf numFmtId="3" fontId="0" fillId="0" borderId="12" xfId="0" applyNumberFormat="1" applyFill="1" applyBorder="1" applyAlignment="1"/>
    <xf numFmtId="166" fontId="0" fillId="0" borderId="12" xfId="0" applyNumberFormat="1" applyFont="1" applyBorder="1" applyAlignment="1"/>
    <xf numFmtId="9" fontId="0" fillId="0" borderId="12" xfId="2" applyFont="1" applyBorder="1" applyAlignment="1"/>
    <xf numFmtId="0" fontId="6" fillId="0" borderId="12" xfId="0" applyFont="1" applyBorder="1" applyAlignment="1"/>
    <xf numFmtId="0" fontId="7" fillId="5" borderId="12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 wrapText="1"/>
    </xf>
    <xf numFmtId="0" fontId="7" fillId="5" borderId="17" xfId="0" applyFont="1" applyFill="1" applyBorder="1" applyAlignment="1">
      <alignment horizontal="center"/>
    </xf>
    <xf numFmtId="0" fontId="7" fillId="5" borderId="18" xfId="0" applyFont="1" applyFill="1" applyBorder="1" applyAlignment="1">
      <alignment horizontal="center"/>
    </xf>
    <xf numFmtId="0" fontId="1" fillId="4" borderId="12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166" fontId="4" fillId="4" borderId="11" xfId="1" applyNumberFormat="1" applyFont="1" applyFill="1" applyBorder="1" applyAlignment="1">
      <alignment horizontal="center" vertical="center"/>
    </xf>
    <xf numFmtId="166" fontId="4" fillId="4" borderId="10" xfId="1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3" fillId="4" borderId="12" xfId="0" applyFont="1" applyFill="1" applyBorder="1" applyAlignment="1">
      <alignment horizontal="center" vertical="center"/>
    </xf>
    <xf numFmtId="166" fontId="3" fillId="4" borderId="12" xfId="3" applyNumberFormat="1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</cellXfs>
  <cellStyles count="4">
    <cellStyle name="Bueno" xfId="3" builtinId="26"/>
    <cellStyle name="Moneda" xfId="1" builtinId="4"/>
    <cellStyle name="Normal" xfId="0" builtinId="0"/>
    <cellStyle name="Porcentaje" xfId="2" builtinId="5"/>
  </cellStyles>
  <dxfs count="31">
    <dxf>
      <numFmt numFmtId="164" formatCode="_-&quot;$&quot;\ * #,##0_-;\-&quot;$&quot;\ * #,##0_-;_-&quot;$&quot;\ * &quot;-&quot;??_-;_-@_-"/>
    </dxf>
    <dxf>
      <numFmt numFmtId="3" formatCode="#,##0"/>
    </dxf>
    <dxf>
      <numFmt numFmtId="3" formatCode="#,##0"/>
    </dxf>
    <dxf>
      <numFmt numFmtId="164" formatCode="_-&quot;$&quot;\ * #,##0_-;\-&quot;$&quot;\ * #,##0_-;_-&quot;$&quot;\ * &quot;-&quot;??_-;_-@_-"/>
    </dxf>
    <dxf>
      <numFmt numFmtId="164" formatCode="_-&quot;$&quot;\ * #,##0_-;\-&quot;$&quot;\ * #,##0_-;_-&quot;$&quot;\ * &quot;-&quot;??_-;_-@_-"/>
    </dxf>
    <dxf>
      <numFmt numFmtId="164" formatCode="_-&quot;$&quot;\ * #,##0_-;\-&quot;$&quot;\ * #,##0_-;_-&quot;$&quot;\ * &quot;-&quot;??_-;_-@_-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30" formatCode="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19" formatCode="d/mm/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19" formatCode="d/mm/yyyy"/>
      <alignment horizontal="general" vertical="bottom" textRotation="0" wrapText="0" indent="0" justifyLastLine="0" shrinkToFit="0" readingOrder="0"/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</dxfs>
  <tableStyles count="1">
    <tableStyle name="DataSet-style" pivot="0" count="3" xr9:uid="{00000000-0011-0000-FFFF-FFFF00000000}">
      <tableStyleElement type="headerRow" dxfId="30"/>
      <tableStyleElement type="firstRowStripe" dxfId="29"/>
      <tableStyleElement type="secondRowStripe" dxfId="28"/>
    </tableStyle>
  </tableStyles>
  <colors>
    <mruColors>
      <color rgb="FFEE6358"/>
      <color rgb="FFEB493D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3.xml"/><Relationship Id="rId18" Type="http://schemas.openxmlformats.org/officeDocument/2006/relationships/pivotCacheDefinition" Target="pivotCache/pivotCacheDefinition8.xml"/><Relationship Id="rId26" Type="http://schemas.openxmlformats.org/officeDocument/2006/relationships/styles" Target="styles.xml"/><Relationship Id="rId39" Type="http://schemas.openxmlformats.org/officeDocument/2006/relationships/customXml" Target="../customXml/item9.xml"/><Relationship Id="rId21" Type="http://schemas.microsoft.com/office/2007/relationships/slicerCache" Target="slicerCaches/slicerCache1.xml"/><Relationship Id="rId34" Type="http://schemas.openxmlformats.org/officeDocument/2006/relationships/customXml" Target="../customXml/item4.xml"/><Relationship Id="rId42" Type="http://schemas.openxmlformats.org/officeDocument/2006/relationships/customXml" Target="../customXml/item12.xml"/><Relationship Id="rId47" Type="http://schemas.openxmlformats.org/officeDocument/2006/relationships/customXml" Target="../customXml/item17.xml"/><Relationship Id="rId50" Type="http://schemas.openxmlformats.org/officeDocument/2006/relationships/customXml" Target="../customXml/item2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6.xml"/><Relationship Id="rId29" Type="http://schemas.openxmlformats.org/officeDocument/2006/relationships/powerPivotData" Target="model/item.data"/><Relationship Id="rId11" Type="http://schemas.openxmlformats.org/officeDocument/2006/relationships/pivotCacheDefinition" Target="pivotCache/pivotCacheDefinition1.xml"/><Relationship Id="rId24" Type="http://schemas.openxmlformats.org/officeDocument/2006/relationships/theme" Target="theme/theme1.xml"/><Relationship Id="rId32" Type="http://schemas.openxmlformats.org/officeDocument/2006/relationships/customXml" Target="../customXml/item2.xml"/><Relationship Id="rId37" Type="http://schemas.openxmlformats.org/officeDocument/2006/relationships/customXml" Target="../customXml/item7.xml"/><Relationship Id="rId40" Type="http://schemas.openxmlformats.org/officeDocument/2006/relationships/customXml" Target="../customXml/item10.xml"/><Relationship Id="rId45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23" Type="http://schemas.microsoft.com/office/2007/relationships/slicerCache" Target="slicerCaches/slicerCache3.xml"/><Relationship Id="rId28" Type="http://schemas.openxmlformats.org/officeDocument/2006/relationships/sheetMetadata" Target="metadata.xml"/><Relationship Id="rId36" Type="http://schemas.openxmlformats.org/officeDocument/2006/relationships/customXml" Target="../customXml/item6.xml"/><Relationship Id="rId49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9.xml"/><Relationship Id="rId31" Type="http://schemas.openxmlformats.org/officeDocument/2006/relationships/customXml" Target="../customXml/item1.xml"/><Relationship Id="rId44" Type="http://schemas.openxmlformats.org/officeDocument/2006/relationships/customXml" Target="../customXml/item1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Relationship Id="rId22" Type="http://schemas.microsoft.com/office/2007/relationships/slicerCache" Target="slicerCaches/slicerCache2.xml"/><Relationship Id="rId27" Type="http://schemas.openxmlformats.org/officeDocument/2006/relationships/sharedStrings" Target="sharedStrings.xml"/><Relationship Id="rId30" Type="http://schemas.openxmlformats.org/officeDocument/2006/relationships/calcChain" Target="calcChain.xml"/><Relationship Id="rId35" Type="http://schemas.openxmlformats.org/officeDocument/2006/relationships/customXml" Target="../customXml/item5.xml"/><Relationship Id="rId43" Type="http://schemas.openxmlformats.org/officeDocument/2006/relationships/customXml" Target="../customXml/item13.xml"/><Relationship Id="rId48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1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2.xml"/><Relationship Id="rId17" Type="http://schemas.openxmlformats.org/officeDocument/2006/relationships/pivotCacheDefinition" Target="pivotCache/pivotCacheDefinition7.xml"/><Relationship Id="rId25" Type="http://schemas.openxmlformats.org/officeDocument/2006/relationships/connections" Target="connections.xml"/><Relationship Id="rId33" Type="http://schemas.openxmlformats.org/officeDocument/2006/relationships/customXml" Target="../customXml/item3.xml"/><Relationship Id="rId38" Type="http://schemas.openxmlformats.org/officeDocument/2006/relationships/customXml" Target="../customXml/item8.xml"/><Relationship Id="rId46" Type="http://schemas.openxmlformats.org/officeDocument/2006/relationships/customXml" Target="../customXml/item16.xml"/><Relationship Id="rId20" Type="http://schemas.openxmlformats.org/officeDocument/2006/relationships/pivotCacheDefinition" Target="pivotCache/pivotCacheDefinition10.xml"/><Relationship Id="rId41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[Dashboard Final Lizeth Bustos.xlsm]Tablas dinámicas!CategoriaVentas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Categoría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dinámicas'!$F$10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'Tablas dinámicas'!$E$11:$E$16</c:f>
              <c:strCache>
                <c:ptCount val="5"/>
                <c:pt idx="0">
                  <c:v>Abarrotes</c:v>
                </c:pt>
                <c:pt idx="1">
                  <c:v>Bebidas</c:v>
                </c:pt>
                <c:pt idx="2">
                  <c:v>Carnes</c:v>
                </c:pt>
                <c:pt idx="3">
                  <c:v>Lácteos</c:v>
                </c:pt>
                <c:pt idx="4">
                  <c:v>Limpieza</c:v>
                </c:pt>
              </c:strCache>
            </c:strRef>
          </c:cat>
          <c:val>
            <c:numRef>
              <c:f>'Tablas dinámicas'!$F$11:$F$16</c:f>
              <c:numCache>
                <c:formatCode>_-"$"\ * #,##0_-;\-"$"\ * #,##0_-;_-"$"\ * "-"??_-;_-@_-</c:formatCode>
                <c:ptCount val="5"/>
                <c:pt idx="0">
                  <c:v>2346144</c:v>
                </c:pt>
                <c:pt idx="1">
                  <c:v>777480</c:v>
                </c:pt>
                <c:pt idx="2">
                  <c:v>1900024</c:v>
                </c:pt>
                <c:pt idx="3">
                  <c:v>3074264</c:v>
                </c:pt>
                <c:pt idx="4">
                  <c:v>2516500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37-490E-B095-C93BBB784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65009487"/>
        <c:axId val="1165009919"/>
      </c:barChart>
      <c:catAx>
        <c:axId val="11650094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65009919"/>
        <c:crosses val="autoZero"/>
        <c:auto val="1"/>
        <c:lblAlgn val="ctr"/>
        <c:lblOffset val="100"/>
        <c:noMultiLvlLbl val="0"/>
      </c:catAx>
      <c:valAx>
        <c:axId val="11650099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\ * #,##0_-;\-&quot;$&quot;\ * #,##0_-;_-&quot;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65009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63500" dist="50800" dir="2700000">
        <a:prstClr val="black">
          <a:alpha val="50000"/>
        </a:prstClr>
      </a:innerShdw>
    </a:effectLst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[Dashboard Final Lizeth Bustos.xlsm]Tablas dinámicas!GeneroCantidad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solidFill>
            <a:schemeClr val="accent4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>
              <a:shade val="76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4">
              <a:tint val="77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6.616541353383458E-2"/>
          <c:y val="0.23326939994569645"/>
          <c:w val="0.53948730092948904"/>
          <c:h val="0.49484007602497965"/>
        </c:manualLayout>
      </c:layout>
      <c:pieChart>
        <c:varyColors val="1"/>
        <c:ser>
          <c:idx val="0"/>
          <c:order val="0"/>
          <c:tx>
            <c:strRef>
              <c:f>'Tablas dinámicas'!$I$10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AB9-496A-A9A4-9BE815966D6B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AB9-496A-A9A4-9BE815966D6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'Tablas dinámicas'!$H$11:$H$13</c:f>
              <c:strCache>
                <c:ptCount val="2"/>
                <c:pt idx="0">
                  <c:v>Femenino</c:v>
                </c:pt>
                <c:pt idx="1">
                  <c:v>Masculino</c:v>
                </c:pt>
              </c:strCache>
            </c:strRef>
          </c:cat>
          <c:val>
            <c:numRef>
              <c:f>'Tablas dinámicas'!$I$11:$I$13</c:f>
              <c:numCache>
                <c:formatCode>#,##0</c:formatCode>
                <c:ptCount val="2"/>
                <c:pt idx="0">
                  <c:v>2344</c:v>
                </c:pt>
                <c:pt idx="1">
                  <c:v>2647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B9-496A-A9A4-9BE815966D6B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>
      <a:innerShdw blurRad="63500" dist="50800" dir="2700000">
        <a:prstClr val="black">
          <a:alpha val="50000"/>
        </a:prstClr>
      </a:innerShdw>
    </a:effectLst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[Dashboard Final Lizeth Bustos.xlsm]Tablas dinámicas!MesVenta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4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dinámicas'!$C$26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'Tablas dinámicas'!$B$27:$B$39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'Tablas dinámicas'!$C$27:$C$39</c:f>
              <c:numCache>
                <c:formatCode>_-"$"\ * #,##0_-;\-"$"\ * #,##0_-;_-"$"\ * "-"??_-;_-@_-</c:formatCode>
                <c:ptCount val="12"/>
                <c:pt idx="0">
                  <c:v>856283</c:v>
                </c:pt>
                <c:pt idx="1">
                  <c:v>930332</c:v>
                </c:pt>
                <c:pt idx="2">
                  <c:v>719875</c:v>
                </c:pt>
                <c:pt idx="3">
                  <c:v>978175</c:v>
                </c:pt>
                <c:pt idx="4">
                  <c:v>935618</c:v>
                </c:pt>
                <c:pt idx="5">
                  <c:v>927082</c:v>
                </c:pt>
                <c:pt idx="6">
                  <c:v>791084</c:v>
                </c:pt>
                <c:pt idx="7">
                  <c:v>1118137</c:v>
                </c:pt>
                <c:pt idx="8">
                  <c:v>875185</c:v>
                </c:pt>
                <c:pt idx="9">
                  <c:v>872363</c:v>
                </c:pt>
                <c:pt idx="10">
                  <c:v>752935</c:v>
                </c:pt>
                <c:pt idx="11">
                  <c:v>857343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17-444F-8481-EA6B1E115FC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68376927"/>
        <c:axId val="1368378223"/>
      </c:lineChart>
      <c:catAx>
        <c:axId val="1368376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68378223"/>
        <c:crosses val="autoZero"/>
        <c:auto val="1"/>
        <c:lblAlgn val="ctr"/>
        <c:lblOffset val="100"/>
        <c:noMultiLvlLbl val="0"/>
      </c:catAx>
      <c:valAx>
        <c:axId val="1368378223"/>
        <c:scaling>
          <c:orientation val="minMax"/>
          <c:min val="6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\ * #,##0_-;\-&quot;$&quot;\ * #,##0_-;_-&quot;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683769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>
      <a:innerShdw blurRad="63500" dist="50800" dir="2700000">
        <a:prstClr val="black">
          <a:alpha val="50000"/>
        </a:prstClr>
      </a:innerShdw>
    </a:effectLst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[Dashboard Final Lizeth Bustos.xlsm]Tablas dinámicas!TipoPagoVenta</c:name>
    <c:fmtId val="3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solidFill>
            <a:schemeClr val="accent4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shade val="65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"/>
        <c:spPr>
          <a:solidFill>
            <a:schemeClr val="accent4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"/>
        <c:spPr>
          <a:solidFill>
            <a:schemeClr val="accent4">
              <a:tint val="65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2.6372622754568906E-2"/>
          <c:y val="0.12397759012202611"/>
          <c:w val="0.52384615384615396"/>
          <c:h val="0.81556886227544922"/>
        </c:manualLayout>
      </c:layout>
      <c:pieChart>
        <c:varyColors val="1"/>
        <c:ser>
          <c:idx val="0"/>
          <c:order val="0"/>
          <c:tx>
            <c:strRef>
              <c:f>'Tablas dinámicas'!$I$19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4">
                  <a:shade val="65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7CD-4431-82FA-6B7DCFF4B216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7CD-4431-82FA-6B7DCFF4B216}"/>
              </c:ext>
            </c:extLst>
          </c:dPt>
          <c:dPt>
            <c:idx val="2"/>
            <c:bubble3D val="0"/>
            <c:spPr>
              <a:solidFill>
                <a:schemeClr val="accent4">
                  <a:tint val="65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7CD-4431-82FA-6B7DCFF4B21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'Tablas dinámicas'!$H$20:$H$23</c:f>
              <c:strCache>
                <c:ptCount val="3"/>
                <c:pt idx="0">
                  <c:v>Efectivo</c:v>
                </c:pt>
                <c:pt idx="1">
                  <c:v>Tarjeta</c:v>
                </c:pt>
                <c:pt idx="2">
                  <c:v>Transferencia</c:v>
                </c:pt>
              </c:strCache>
            </c:strRef>
          </c:cat>
          <c:val>
            <c:numRef>
              <c:f>'Tablas dinámicas'!$I$20:$I$23</c:f>
              <c:numCache>
                <c:formatCode>_-"$"\ * #,##0_-;\-"$"\ * #,##0_-;_-"$"\ * "-"??_-;_-@_-</c:formatCode>
                <c:ptCount val="3"/>
                <c:pt idx="0">
                  <c:v>2105231</c:v>
                </c:pt>
                <c:pt idx="1">
                  <c:v>6388936</c:v>
                </c:pt>
                <c:pt idx="2">
                  <c:v>2120245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7CD-4431-82FA-6B7DCFF4B216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2149653752190905"/>
          <c:y val="0.19361843242648566"/>
          <c:w val="0.44392188415296691"/>
          <c:h val="0.620336649535574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>
      <a:innerShdw blurRad="63500" dist="50800" dir="2700000">
        <a:prstClr val="black">
          <a:alpha val="50000"/>
        </a:prstClr>
      </a:innerShdw>
    </a:effectLst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Sucursal Centro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KPI!$D$7</c:f>
              <c:numCache>
                <c:formatCode>0%</c:formatCode>
                <c:ptCount val="1"/>
                <c:pt idx="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56-41BB-AF82-C44281360067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KPI!$D$8</c:f>
              <c:numCache>
                <c:formatCode>0%</c:formatCode>
                <c:ptCount val="1"/>
                <c:pt idx="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56-41BB-AF82-C44281360067}"/>
            </c:ext>
          </c:extLst>
        </c:ser>
        <c:ser>
          <c:idx val="3"/>
          <c:order val="3"/>
          <c:spPr>
            <a:solidFill>
              <a:srgbClr val="FF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KPI!$D$9</c:f>
              <c:numCache>
                <c:formatCode>0%</c:formatCode>
                <c:ptCount val="1"/>
                <c:pt idx="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56-41BB-AF82-C44281360067}"/>
            </c:ext>
          </c:extLst>
        </c:ser>
        <c:ser>
          <c:idx val="4"/>
          <c:order val="4"/>
          <c:spPr>
            <a:solidFill>
              <a:srgbClr val="92D05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KPI!$D$10</c:f>
              <c:numCache>
                <c:formatCode>0%</c:formatCode>
                <c:ptCount val="1"/>
                <c:pt idx="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56-41BB-AF82-C44281360067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D456-41BB-AF82-C44281360067}"/>
              </c:ext>
            </c:extLst>
          </c:dPt>
          <c:val>
            <c:numRef>
              <c:f>KPI!$D$11</c:f>
              <c:numCache>
                <c:formatCode>0%</c:formatCode>
                <c:ptCount val="1"/>
                <c:pt idx="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56-41BB-AF82-C44281360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89026704"/>
        <c:axId val="389048736"/>
      </c:barChar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472697096409068"/>
                      <c:h val="0.1286334108335563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456-41BB-AF82-C442813600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KPI!$C$9</c:f>
              <c:numCache>
                <c:formatCode>0.0%</c:formatCode>
                <c:ptCount val="1"/>
                <c:pt idx="0">
                  <c:v>0.97854547619047616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456-41BB-AF82-C44281360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026704"/>
        <c:axId val="389048736"/>
      </c:lineChart>
      <c:catAx>
        <c:axId val="3890267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89048736"/>
        <c:crosses val="autoZero"/>
        <c:auto val="1"/>
        <c:lblAlgn val="ctr"/>
        <c:lblOffset val="100"/>
        <c:noMultiLvlLbl val="0"/>
      </c:catAx>
      <c:valAx>
        <c:axId val="38904873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8902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63500" dist="50800" dir="2700000">
        <a:prstClr val="black">
          <a:alpha val="50000"/>
        </a:prstClr>
      </a:innerShdw>
    </a:effectLst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100"/>
              <a:t>Sucursal Norte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KPI!$D$19</c:f>
              <c:numCache>
                <c:formatCode>0%</c:formatCode>
                <c:ptCount val="1"/>
                <c:pt idx="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F-46AD-A931-A1ED50D4D3DE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KPI!$D$20</c:f>
              <c:numCache>
                <c:formatCode>0%</c:formatCode>
                <c:ptCount val="1"/>
                <c:pt idx="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F-46AD-A931-A1ED50D4D3DE}"/>
            </c:ext>
          </c:extLst>
        </c:ser>
        <c:ser>
          <c:idx val="3"/>
          <c:order val="3"/>
          <c:spPr>
            <a:solidFill>
              <a:srgbClr val="FF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KPI!$D$21</c:f>
              <c:numCache>
                <c:formatCode>0%</c:formatCode>
                <c:ptCount val="1"/>
                <c:pt idx="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CF-46AD-A931-A1ED50D4D3DE}"/>
            </c:ext>
          </c:extLst>
        </c:ser>
        <c:ser>
          <c:idx val="4"/>
          <c:order val="4"/>
          <c:spPr>
            <a:solidFill>
              <a:srgbClr val="92D05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KPI!$D$22</c:f>
              <c:numCache>
                <c:formatCode>0%</c:formatCode>
                <c:ptCount val="1"/>
                <c:pt idx="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FCF-46AD-A931-A1ED50D4D3DE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E31-4EDD-8A0C-19D63E29AC0D}"/>
              </c:ext>
            </c:extLst>
          </c:dPt>
          <c:val>
            <c:numRef>
              <c:f>KPI!$D$23</c:f>
              <c:numCache>
                <c:formatCode>0%</c:formatCode>
                <c:ptCount val="1"/>
                <c:pt idx="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CF-46AD-A931-A1ED50D4D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0842175"/>
        <c:axId val="1170843903"/>
      </c:barChar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615183358352992"/>
                      <c:h val="0.1379487266486533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6FCF-46AD-A931-A1ED50D4D3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KPI!$C$21</c:f>
              <c:numCache>
                <c:formatCode>0.0%</c:formatCode>
                <c:ptCount val="1"/>
                <c:pt idx="0">
                  <c:v>0.76060976190476193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FCF-46AD-A931-A1ED50D4D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0842175"/>
        <c:axId val="1170843903"/>
      </c:lineChart>
      <c:catAx>
        <c:axId val="11708421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70843903"/>
        <c:crosses val="autoZero"/>
        <c:auto val="1"/>
        <c:lblAlgn val="ctr"/>
        <c:lblOffset val="100"/>
        <c:noMultiLvlLbl val="0"/>
      </c:catAx>
      <c:valAx>
        <c:axId val="11708439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70842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63500" dist="50800" dir="2700000">
        <a:prstClr val="black">
          <a:alpha val="50000"/>
        </a:prstClr>
      </a:innerShdw>
    </a:effectLst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100"/>
              <a:t>Sucursal Sur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KPI!$D$31</c:f>
              <c:numCache>
                <c:formatCode>0%</c:formatCode>
                <c:ptCount val="1"/>
                <c:pt idx="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91-48A1-8804-58A96F4E845C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KPI!$D$32</c:f>
              <c:numCache>
                <c:formatCode>0%</c:formatCode>
                <c:ptCount val="1"/>
                <c:pt idx="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91-48A1-8804-58A96F4E845C}"/>
            </c:ext>
          </c:extLst>
        </c:ser>
        <c:ser>
          <c:idx val="3"/>
          <c:order val="3"/>
          <c:spPr>
            <a:solidFill>
              <a:srgbClr val="FF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KPI!$D$33</c:f>
              <c:numCache>
                <c:formatCode>0%</c:formatCode>
                <c:ptCount val="1"/>
                <c:pt idx="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91-48A1-8804-58A96F4E845C}"/>
            </c:ext>
          </c:extLst>
        </c:ser>
        <c:ser>
          <c:idx val="4"/>
          <c:order val="4"/>
          <c:spPr>
            <a:solidFill>
              <a:srgbClr val="92D05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KPI!$D$34</c:f>
              <c:numCache>
                <c:formatCode>0%</c:formatCode>
                <c:ptCount val="1"/>
                <c:pt idx="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F91-48A1-8804-58A96F4E845C}"/>
            </c:ext>
          </c:extLst>
        </c:ser>
        <c:ser>
          <c:idx val="5"/>
          <c:order val="5"/>
          <c:spPr>
            <a:solidFill>
              <a:srgbClr val="00B05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KPI!$D$35</c:f>
              <c:numCache>
                <c:formatCode>0%</c:formatCode>
                <c:ptCount val="1"/>
                <c:pt idx="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91-48A1-8804-58A96F4E8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63951679"/>
        <c:axId val="1163947791"/>
      </c:barChart>
      <c:lineChart>
        <c:grouping val="stacke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49874645014919"/>
                      <c:h val="0.1386119227363488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6F91-48A1-8804-58A96F4E84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KPI!$C$33</c:f>
              <c:numCache>
                <c:formatCode>0.0%</c:formatCode>
                <c:ptCount val="1"/>
                <c:pt idx="0">
                  <c:v>0.78808571428571428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F91-48A1-8804-58A96F4E8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3951679"/>
        <c:axId val="1163947791"/>
      </c:lineChart>
      <c:catAx>
        <c:axId val="116395167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63947791"/>
        <c:crosses val="autoZero"/>
        <c:auto val="1"/>
        <c:lblAlgn val="ctr"/>
        <c:lblOffset val="100"/>
        <c:noMultiLvlLbl val="0"/>
      </c:catAx>
      <c:valAx>
        <c:axId val="11639477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63951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63500" dist="50800" dir="2700000">
        <a:prstClr val="black">
          <a:alpha val="50000"/>
        </a:prstClr>
      </a:innerShdw>
    </a:effectLst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[Dashboard Final Lizeth Bustos.xlsm]Tablas dinámicas!SucursalVentas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Sucursal</a:t>
            </a:r>
            <a:r>
              <a:rPr lang="en-US" baseline="0"/>
              <a:t> por Ventas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dinámicas'!$C$10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dinámicas'!$B$11:$B$14</c:f>
              <c:strCache>
                <c:ptCount val="3"/>
                <c:pt idx="0">
                  <c:v>Centro</c:v>
                </c:pt>
                <c:pt idx="1">
                  <c:v>Norte</c:v>
                </c:pt>
                <c:pt idx="2">
                  <c:v>Sur</c:v>
                </c:pt>
              </c:strCache>
            </c:strRef>
          </c:cat>
          <c:val>
            <c:numRef>
              <c:f>'Tablas dinámicas'!$C$11:$C$14</c:f>
              <c:numCache>
                <c:formatCode>_-"$"\ * #,##0_-;\-"$"\ * #,##0_-;_-"$"\ * "-"??_-;_-@_-</c:formatCode>
                <c:ptCount val="3"/>
                <c:pt idx="0">
                  <c:v>4109891</c:v>
                </c:pt>
                <c:pt idx="1">
                  <c:v>3194561</c:v>
                </c:pt>
                <c:pt idx="2">
                  <c:v>3309960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73-4914-B4FD-4B4397C8C1F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163955567"/>
        <c:axId val="1163962047"/>
      </c:barChart>
      <c:catAx>
        <c:axId val="1163955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63962047"/>
        <c:crosses val="autoZero"/>
        <c:auto val="1"/>
        <c:lblAlgn val="ctr"/>
        <c:lblOffset val="100"/>
        <c:noMultiLvlLbl val="0"/>
      </c:catAx>
      <c:valAx>
        <c:axId val="1163962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\ * #,##0_-;\-&quot;$&quot;\ * #,##0_-;_-&quot;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63955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63500" dist="50800" dir="2700000">
        <a:prstClr val="black">
          <a:alpha val="50000"/>
        </a:prstClr>
      </a:innerShdw>
    </a:effectLst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plotArea>
      <cx:plotAreaRegion>
        <cx:series layoutId="boxWhisker" uniqueId="{C2ACF36F-5459-448A-B5D0-0A98431B6398}">
          <cx:spPr>
            <a:solidFill>
              <a:schemeClr val="accent4">
                <a:alpha val="99000"/>
              </a:schemeClr>
            </a:solidFill>
            <a:ln w="28575">
              <a:solidFill>
                <a:schemeClr val="accent3">
                  <a:lumMod val="75000"/>
                </a:schemeClr>
              </a:solidFill>
            </a:ln>
          </cx:spPr>
          <cx:dataId val="0"/>
          <cx:layoutPr>
            <cx:visibility meanLine="1" meanMarker="1" nonoutliers="0" outliers="1"/>
            <cx:statistics quartileMethod="exclusive"/>
          </cx:layoutPr>
        </cx:series>
      </cx:plotAreaRegion>
      <cx:axis id="0" hidden="1">
        <cx:catScaling gapWidth="1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plotArea>
      <cx:plotAreaRegion>
        <cx:series layoutId="boxWhisker" uniqueId="{6578C73C-9BF2-40C0-91BC-4100E58DB98B}">
          <cx:spPr>
            <a:solidFill>
              <a:schemeClr val="accent4"/>
            </a:solidFill>
            <a:ln w="31750" cap="sq">
              <a:solidFill>
                <a:schemeClr val="accent3">
                  <a:lumMod val="75000"/>
                </a:schemeClr>
              </a:solidFill>
              <a:miter lim="800000"/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40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dk1"/>
    </cs:fontRef>
    <cs:defRPr sz="9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75000"/>
            <a:lumOff val="2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dk1"/>
    </cs:fontRef>
    <cs:defRPr sz="9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75000"/>
            <a:lumOff val="2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Radio" checked="Checked" firstButton="1" fmlaLink="$A$14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Productos!A1"/><Relationship Id="rId13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hyperlink" Target="#'Tablas din&#225;micas'!A1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hyperlink" Target="#Ventas!A1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5" Type="http://schemas.openxmlformats.org/officeDocument/2006/relationships/image" Target="../media/image9.png"/><Relationship Id="rId10" Type="http://schemas.openxmlformats.org/officeDocument/2006/relationships/hyperlink" Target="#Dashboard!A1"/><Relationship Id="rId4" Type="http://schemas.openxmlformats.org/officeDocument/2006/relationships/hyperlink" Target="#Sucursales!A1"/><Relationship Id="rId9" Type="http://schemas.openxmlformats.org/officeDocument/2006/relationships/image" Target="../media/image6.png"/><Relationship Id="rId14" Type="http://schemas.openxmlformats.org/officeDocument/2006/relationships/hyperlink" Target="#'Reporte Estadictico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hyperlink" Target="#Inicio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hyperlink" Target="#Inicio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hyperlink" Target="#Inicio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hyperlink" Target="#Inicio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hyperlink" Target="#Inicio!A1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image" Target="../media/image16.emf"/><Relationship Id="rId5" Type="http://schemas.openxmlformats.org/officeDocument/2006/relationships/image" Target="../media/image15.png"/><Relationship Id="rId4" Type="http://schemas.openxmlformats.org/officeDocument/2006/relationships/image" Target="../media/image1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4/relationships/chartEx" Target="../charts/chartEx2.xml"/><Relationship Id="rId1" Type="http://schemas.microsoft.com/office/2014/relationships/chartEx" Target="../charts/chartEx1.xml"/><Relationship Id="rId5" Type="http://schemas.openxmlformats.org/officeDocument/2006/relationships/image" Target="../media/image10.png"/><Relationship Id="rId4" Type="http://schemas.openxmlformats.org/officeDocument/2006/relationships/hyperlink" Target="#Inicio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image" Target="../media/image20.png"/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12" Type="http://schemas.openxmlformats.org/officeDocument/2006/relationships/image" Target="../media/image19.png"/><Relationship Id="rId2" Type="http://schemas.openxmlformats.org/officeDocument/2006/relationships/image" Target="../media/image10.png"/><Relationship Id="rId1" Type="http://schemas.openxmlformats.org/officeDocument/2006/relationships/hyperlink" Target="#Inicio!A1"/><Relationship Id="rId6" Type="http://schemas.openxmlformats.org/officeDocument/2006/relationships/chart" Target="../charts/chart4.xml"/><Relationship Id="rId11" Type="http://schemas.openxmlformats.org/officeDocument/2006/relationships/image" Target="../media/image18.emf"/><Relationship Id="rId5" Type="http://schemas.openxmlformats.org/officeDocument/2006/relationships/chart" Target="../charts/chart3.xml"/><Relationship Id="rId15" Type="http://schemas.openxmlformats.org/officeDocument/2006/relationships/image" Target="../media/image22.png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image" Target="../media/image2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714375</xdr:colOff>
      <xdr:row>28</xdr:row>
      <xdr:rowOff>200024</xdr:rowOff>
    </xdr:to>
    <xdr:sp macro="" textlink="">
      <xdr:nvSpPr>
        <xdr:cNvPr id="19" name="Rectángul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0" y="0"/>
          <a:ext cx="2390775" cy="5800724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2</xdr:col>
      <xdr:colOff>685800</xdr:colOff>
      <xdr:row>6</xdr:row>
      <xdr:rowOff>0</xdr:rowOff>
    </xdr:from>
    <xdr:to>
      <xdr:col>11</xdr:col>
      <xdr:colOff>9525</xdr:colOff>
      <xdr:row>29</xdr:row>
      <xdr:rowOff>9525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0" y="1200150"/>
          <a:ext cx="6867525" cy="4610100"/>
        </a:xfrm>
        <a:prstGeom prst="rect">
          <a:avLst/>
        </a:prstGeom>
      </xdr:spPr>
    </xdr:pic>
    <xdr:clientData/>
  </xdr:twoCellAnchor>
  <xdr:twoCellAnchor>
    <xdr:from>
      <xdr:col>2</xdr:col>
      <xdr:colOff>685799</xdr:colOff>
      <xdr:row>0</xdr:row>
      <xdr:rowOff>0</xdr:rowOff>
    </xdr:from>
    <xdr:to>
      <xdr:col>11</xdr:col>
      <xdr:colOff>0</xdr:colOff>
      <xdr:row>6</xdr:row>
      <xdr:rowOff>123825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2362199" y="0"/>
          <a:ext cx="6858001" cy="1323975"/>
        </a:xfrm>
        <a:prstGeom prst="rect">
          <a:avLst/>
        </a:prstGeom>
        <a:ln>
          <a:noFill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333375</xdr:colOff>
      <xdr:row>2</xdr:row>
      <xdr:rowOff>19050</xdr:rowOff>
    </xdr:from>
    <xdr:to>
      <xdr:col>9</xdr:col>
      <xdr:colOff>161925</xdr:colOff>
      <xdr:row>6</xdr:row>
      <xdr:rowOff>38099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2847975" y="419100"/>
          <a:ext cx="4857750" cy="81914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wrap="square" rtlCol="0" anchor="b"/>
        <a:lstStyle/>
        <a:p>
          <a:pPr algn="ctr"/>
          <a:r>
            <a:rPr lang="es-CO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4">
                  <a:lumMod val="75000"/>
                </a:schemeClr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Forte" panose="03060902040502070203" pitchFamily="66" charset="0"/>
              <a:ea typeface="+mn-ea"/>
              <a:cs typeface="+mn-cs"/>
            </a:rPr>
            <a:t>Super</a:t>
          </a:r>
          <a:r>
            <a:rPr lang="es-CO" sz="54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accent4">
                  <a:lumMod val="75000"/>
                </a:schemeClr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Forte" panose="03060902040502070203" pitchFamily="66" charset="0"/>
              <a:ea typeface="+mn-ea"/>
              <a:cs typeface="+mn-cs"/>
            </a:rPr>
            <a:t> Barato</a:t>
          </a:r>
          <a:endParaRPr lang="es-CO" sz="5400" b="1" cap="none" spc="0">
            <a:ln w="9525">
              <a:solidFill>
                <a:schemeClr val="bg1"/>
              </a:solidFill>
              <a:prstDash val="solid"/>
            </a:ln>
            <a:solidFill>
              <a:schemeClr val="accent4">
                <a:lumMod val="75000"/>
              </a:schemeClr>
            </a:solidFill>
            <a:effectLst>
              <a:outerShdw blurRad="12700" dist="38100" dir="2700000" algn="tl" rotWithShape="0">
                <a:schemeClr val="accent5">
                  <a:lumMod val="60000"/>
                  <a:lumOff val="40000"/>
                </a:schemeClr>
              </a:outerShdw>
            </a:effectLst>
            <a:latin typeface="Forte" panose="03060902040502070203" pitchFamily="66" charset="0"/>
          </a:endParaRPr>
        </a:p>
      </xdr:txBody>
    </xdr:sp>
    <xdr:clientData/>
  </xdr:twoCellAnchor>
  <xdr:twoCellAnchor>
    <xdr:from>
      <xdr:col>4</xdr:col>
      <xdr:colOff>342900</xdr:colOff>
      <xdr:row>0</xdr:row>
      <xdr:rowOff>123825</xdr:rowOff>
    </xdr:from>
    <xdr:to>
      <xdr:col>8</xdr:col>
      <xdr:colOff>85725</xdr:colOff>
      <xdr:row>2</xdr:row>
      <xdr:rowOff>85724</xdr:rowOff>
    </xdr:to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3695700" y="123825"/>
          <a:ext cx="3095625" cy="361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2000" b="1" baseline="0">
              <a:solidFill>
                <a:srgbClr val="EE6358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Georgia" panose="02040502050405020303" pitchFamily="18" charset="0"/>
              <a:ea typeface="+mn-ea"/>
              <a:cs typeface="+mn-cs"/>
            </a:rPr>
            <a:t>Supermercado</a:t>
          </a:r>
          <a:endParaRPr lang="es-CO" sz="2000">
            <a:solidFill>
              <a:srgbClr val="EE6358"/>
            </a:solidFill>
            <a:effectLst/>
            <a:latin typeface="Georgia" panose="02040502050405020303" pitchFamily="18" charset="0"/>
          </a:endParaRPr>
        </a:p>
        <a:p>
          <a:endParaRPr lang="es-CO" sz="2000">
            <a:solidFill>
              <a:srgbClr val="EE6358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oneCell">
    <xdr:from>
      <xdr:col>8</xdr:col>
      <xdr:colOff>647701</xdr:colOff>
      <xdr:row>2</xdr:row>
      <xdr:rowOff>123826</xdr:rowOff>
    </xdr:from>
    <xdr:to>
      <xdr:col>9</xdr:col>
      <xdr:colOff>781051</xdr:colOff>
      <xdr:row>7</xdr:row>
      <xdr:rowOff>95251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1" y="523876"/>
          <a:ext cx="971550" cy="971550"/>
        </a:xfrm>
        <a:prstGeom prst="rect">
          <a:avLst/>
        </a:prstGeom>
      </xdr:spPr>
    </xdr:pic>
    <xdr:clientData/>
  </xdr:twoCellAnchor>
  <xdr:twoCellAnchor>
    <xdr:from>
      <xdr:col>1</xdr:col>
      <xdr:colOff>182235</xdr:colOff>
      <xdr:row>0</xdr:row>
      <xdr:rowOff>56893</xdr:rowOff>
    </xdr:from>
    <xdr:to>
      <xdr:col>2</xdr:col>
      <xdr:colOff>523377</xdr:colOff>
      <xdr:row>2</xdr:row>
      <xdr:rowOff>194177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1020435" y="56893"/>
          <a:ext cx="1179342" cy="5373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300" b="1">
              <a:solidFill>
                <a:schemeClr val="accent4">
                  <a:lumMod val="75000"/>
                </a:schemeClr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Georgia" panose="02040502050405020303" pitchFamily="18" charset="0"/>
            </a:rPr>
            <a:t>Tabla Clientes</a:t>
          </a:r>
        </a:p>
      </xdr:txBody>
    </xdr:sp>
    <xdr:clientData/>
  </xdr:twoCellAnchor>
  <xdr:twoCellAnchor>
    <xdr:from>
      <xdr:col>0</xdr:col>
      <xdr:colOff>153764</xdr:colOff>
      <xdr:row>0</xdr:row>
      <xdr:rowOff>28574</xdr:rowOff>
    </xdr:from>
    <xdr:to>
      <xdr:col>0</xdr:col>
      <xdr:colOff>763623</xdr:colOff>
      <xdr:row>3</xdr:row>
      <xdr:rowOff>28574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64" y="28574"/>
          <a:ext cx="609859" cy="600075"/>
        </a:xfrm>
        <a:prstGeom prst="rect">
          <a:avLst/>
        </a:prstGeom>
      </xdr:spPr>
    </xdr:pic>
    <xdr:clientData/>
  </xdr:twoCellAnchor>
  <xdr:twoCellAnchor>
    <xdr:from>
      <xdr:col>0</xdr:col>
      <xdr:colOff>172076</xdr:colOff>
      <xdr:row>7</xdr:row>
      <xdr:rowOff>196803</xdr:rowOff>
    </xdr:from>
    <xdr:to>
      <xdr:col>2</xdr:col>
      <xdr:colOff>513099</xdr:colOff>
      <xdr:row>10</xdr:row>
      <xdr:rowOff>130852</xdr:rowOff>
    </xdr:to>
    <xdr:grpSp>
      <xdr:nvGrpSpPr>
        <xdr:cNvPr id="32" name="Grupo 3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72076" y="1596978"/>
          <a:ext cx="2017423" cy="534124"/>
          <a:chOff x="191126" y="1473153"/>
          <a:chExt cx="2017423" cy="534124"/>
        </a:xfrm>
      </xdr:grpSpPr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1126" y="1485900"/>
            <a:ext cx="572082" cy="521377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  <xdr:sp macro="" textlink="">
        <xdr:nvSpPr>
          <xdr:cNvPr id="18" name="CuadroTexto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809272" y="1473153"/>
            <a:ext cx="1399277" cy="5175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CO" sz="1300" b="1">
                <a:solidFill>
                  <a:schemeClr val="accent4">
                    <a:lumMod val="75000"/>
                  </a:schemeClr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Georgia" panose="02040502050405020303" pitchFamily="18" charset="0"/>
              </a:rPr>
              <a:t>Tabla Sucursales</a:t>
            </a:r>
          </a:p>
        </xdr:txBody>
      </xdr:sp>
    </xdr:grpSp>
    <xdr:clientData/>
  </xdr:twoCellAnchor>
  <xdr:twoCellAnchor>
    <xdr:from>
      <xdr:col>0</xdr:col>
      <xdr:colOff>161142</xdr:colOff>
      <xdr:row>4</xdr:row>
      <xdr:rowOff>9525</xdr:rowOff>
    </xdr:from>
    <xdr:to>
      <xdr:col>2</xdr:col>
      <xdr:colOff>370783</xdr:colOff>
      <xdr:row>6</xdr:row>
      <xdr:rowOff>163626</xdr:rowOff>
    </xdr:to>
    <xdr:grpSp>
      <xdr:nvGrpSpPr>
        <xdr:cNvPr id="31" name="Grupo 3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161142" y="809625"/>
          <a:ext cx="1886041" cy="554151"/>
          <a:chOff x="180192" y="685800"/>
          <a:chExt cx="1886041" cy="554151"/>
        </a:xfrm>
      </xdr:grpSpPr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1004712" y="726561"/>
            <a:ext cx="1061521" cy="5021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CO" sz="1300" b="1">
                <a:solidFill>
                  <a:schemeClr val="accent4">
                    <a:lumMod val="75000"/>
                  </a:schemeClr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Georgia" panose="02040502050405020303" pitchFamily="18" charset="0"/>
              </a:rPr>
              <a:t>Tabla Ventas</a:t>
            </a:r>
          </a:p>
        </xdr:txBody>
      </xdr:sp>
      <xdr:pic>
        <xdr:nvPicPr>
          <xdr:cNvPr id="6" name="Imagen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0192" y="685800"/>
            <a:ext cx="562734" cy="55415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150107</xdr:colOff>
      <xdr:row>12</xdr:row>
      <xdr:rowOff>47624</xdr:rowOff>
    </xdr:from>
    <xdr:to>
      <xdr:col>2</xdr:col>
      <xdr:colOff>513099</xdr:colOff>
      <xdr:row>15</xdr:row>
      <xdr:rowOff>19050</xdr:rowOff>
    </xdr:to>
    <xdr:grpSp>
      <xdr:nvGrpSpPr>
        <xdr:cNvPr id="33" name="Grupo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150107" y="2447924"/>
          <a:ext cx="2039392" cy="571501"/>
          <a:chOff x="169157" y="2324099"/>
          <a:chExt cx="2039392" cy="571501"/>
        </a:xfrm>
      </xdr:grpSpPr>
      <xdr:pic>
        <xdr:nvPicPr>
          <xdr:cNvPr id="16" name="Imagen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169157" y="2324099"/>
            <a:ext cx="641148" cy="571501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  <xdr:sp macro="" textlink="">
        <xdr:nvSpPr>
          <xdr:cNvPr id="23" name="CuadroTexto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809272" y="2333625"/>
            <a:ext cx="1399277" cy="518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CO" sz="1300" b="1">
                <a:solidFill>
                  <a:schemeClr val="accent4">
                    <a:lumMod val="75000"/>
                  </a:schemeClr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Georgia" panose="02040502050405020303" pitchFamily="18" charset="0"/>
              </a:rPr>
              <a:t>Tabla Productos</a:t>
            </a:r>
          </a:p>
        </xdr:txBody>
      </xdr:sp>
    </xdr:grpSp>
    <xdr:clientData/>
  </xdr:twoCellAnchor>
  <xdr:twoCellAnchor>
    <xdr:from>
      <xdr:col>0</xdr:col>
      <xdr:colOff>238170</xdr:colOff>
      <xdr:row>24</xdr:row>
      <xdr:rowOff>136012</xdr:rowOff>
    </xdr:from>
    <xdr:to>
      <xdr:col>2</xdr:col>
      <xdr:colOff>536100</xdr:colOff>
      <xdr:row>27</xdr:row>
      <xdr:rowOff>115081</xdr:rowOff>
    </xdr:to>
    <xdr:grpSp>
      <xdr:nvGrpSpPr>
        <xdr:cNvPr id="36" name="Grupo 3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238170" y="4936612"/>
          <a:ext cx="1974330" cy="579144"/>
          <a:chOff x="257220" y="4812787"/>
          <a:chExt cx="1974330" cy="579144"/>
        </a:xfrm>
      </xdr:grpSpPr>
      <xdr:sp macro="" textlink="">
        <xdr:nvSpPr>
          <xdr:cNvPr id="22" name="CuadroTexto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745419" y="4812787"/>
            <a:ext cx="1486131" cy="4468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CO" sz="1300" b="1">
                <a:solidFill>
                  <a:schemeClr val="accent4">
                    <a:lumMod val="75000"/>
                  </a:schemeClr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Georgia" panose="02040502050405020303" pitchFamily="18" charset="0"/>
              </a:rPr>
              <a:t>Dashboard</a:t>
            </a:r>
          </a:p>
        </xdr:txBody>
      </xdr:sp>
      <xdr:pic>
        <xdr:nvPicPr>
          <xdr:cNvPr id="8" name="Imagen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7220" y="4829174"/>
            <a:ext cx="631339" cy="56275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134521</xdr:colOff>
      <xdr:row>16</xdr:row>
      <xdr:rowOff>66674</xdr:rowOff>
    </xdr:from>
    <xdr:to>
      <xdr:col>2</xdr:col>
      <xdr:colOff>494402</xdr:colOff>
      <xdr:row>19</xdr:row>
      <xdr:rowOff>141702</xdr:rowOff>
    </xdr:to>
    <xdr:grpSp>
      <xdr:nvGrpSpPr>
        <xdr:cNvPr id="34" name="Grupo 3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pSpPr/>
      </xdr:nvGrpSpPr>
      <xdr:grpSpPr>
        <a:xfrm>
          <a:off x="134521" y="3267074"/>
          <a:ext cx="2036281" cy="675103"/>
          <a:chOff x="153571" y="3143249"/>
          <a:chExt cx="2036281" cy="675103"/>
        </a:xfrm>
      </xdr:grpSpPr>
      <xdr:pic>
        <xdr:nvPicPr>
          <xdr:cNvPr id="5" name="Imagen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3571" y="3143249"/>
            <a:ext cx="675103" cy="675103"/>
          </a:xfrm>
          <a:prstGeom prst="rect">
            <a:avLst/>
          </a:prstGeom>
        </xdr:spPr>
      </xdr:pic>
      <xdr:sp macro="" textlink="">
        <xdr:nvSpPr>
          <xdr:cNvPr id="28" name="CuadroTexto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790575" y="3190875"/>
            <a:ext cx="1399277" cy="518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CO" sz="1300" b="1">
                <a:solidFill>
                  <a:schemeClr val="accent4">
                    <a:lumMod val="75000"/>
                  </a:schemeClr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Georgia" panose="02040502050405020303" pitchFamily="18" charset="0"/>
              </a:rPr>
              <a:t>Tablas dinámicas</a:t>
            </a:r>
          </a:p>
        </xdr:txBody>
      </xdr:sp>
    </xdr:grpSp>
    <xdr:clientData/>
  </xdr:twoCellAnchor>
  <xdr:twoCellAnchor>
    <xdr:from>
      <xdr:col>0</xdr:col>
      <xdr:colOff>194267</xdr:colOff>
      <xdr:row>20</xdr:row>
      <xdr:rowOff>85725</xdr:rowOff>
    </xdr:from>
    <xdr:to>
      <xdr:col>2</xdr:col>
      <xdr:colOff>513452</xdr:colOff>
      <xdr:row>23</xdr:row>
      <xdr:rowOff>32646</xdr:rowOff>
    </xdr:to>
    <xdr:grpSp>
      <xdr:nvGrpSpPr>
        <xdr:cNvPr id="35" name="Grupo 3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/>
      </xdr:nvGrpSpPr>
      <xdr:grpSpPr>
        <a:xfrm>
          <a:off x="194267" y="4086225"/>
          <a:ext cx="1995585" cy="546996"/>
          <a:chOff x="213317" y="3962400"/>
          <a:chExt cx="1995585" cy="546996"/>
        </a:xfrm>
      </xdr:grpSpPr>
      <xdr:pic>
        <xdr:nvPicPr>
          <xdr:cNvPr id="10" name="Imagen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3317" y="3962400"/>
            <a:ext cx="545673" cy="545673"/>
          </a:xfrm>
          <a:prstGeom prst="rect">
            <a:avLst/>
          </a:prstGeom>
        </xdr:spPr>
      </xdr:pic>
      <xdr:sp macro="" textlink="">
        <xdr:nvSpPr>
          <xdr:cNvPr id="30" name="CuadroTexto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809625" y="3990975"/>
            <a:ext cx="1399277" cy="518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CO" sz="1300" b="1">
                <a:solidFill>
                  <a:schemeClr val="accent4">
                    <a:lumMod val="75000"/>
                  </a:schemeClr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Georgia" panose="02040502050405020303" pitchFamily="18" charset="0"/>
              </a:rPr>
              <a:t>Reporte Estadístico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790575</xdr:colOff>
      <xdr:row>6</xdr:row>
      <xdr:rowOff>9525</xdr:rowOff>
    </xdr:to>
    <xdr:grpSp>
      <xdr:nvGrpSpPr>
        <xdr:cNvPr id="8" name="Grup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0" y="0"/>
          <a:ext cx="790575" cy="981075"/>
          <a:chOff x="285750" y="257175"/>
          <a:chExt cx="790575" cy="1019175"/>
        </a:xfrm>
      </xdr:grpSpPr>
      <xdr:pic>
        <xdr:nvPicPr>
          <xdr:cNvPr id="9" name="Imagen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5" y="552450"/>
            <a:ext cx="723900" cy="72390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 txBox="1"/>
        </xdr:nvSpPr>
        <xdr:spPr>
          <a:xfrm>
            <a:off x="285750" y="257175"/>
            <a:ext cx="7905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CO" sz="1100" b="1">
                <a:latin typeface="Georgia" panose="02040502050405020303" pitchFamily="18" charset="0"/>
              </a:rPr>
              <a:t>Inicio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47625</xdr:colOff>
      <xdr:row>6</xdr:row>
      <xdr:rowOff>9525</xdr:rowOff>
    </xdr:to>
    <xdr:grpSp>
      <xdr:nvGrpSpPr>
        <xdr:cNvPr id="5" name="Grup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0" y="0"/>
          <a:ext cx="790575" cy="981075"/>
          <a:chOff x="285750" y="257175"/>
          <a:chExt cx="790575" cy="1019175"/>
        </a:xfrm>
      </xdr:grpSpPr>
      <xdr:pic>
        <xdr:nvPicPr>
          <xdr:cNvPr id="6" name="Imagen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5" y="552450"/>
            <a:ext cx="723900" cy="723900"/>
          </a:xfrm>
          <a:prstGeom prst="rect">
            <a:avLst/>
          </a:prstGeom>
        </xdr:spPr>
      </xdr:pic>
      <xdr:sp macro="" textlink="">
        <xdr:nvSpPr>
          <xdr:cNvPr id="7" name="CuadroTexto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 txBox="1"/>
        </xdr:nvSpPr>
        <xdr:spPr>
          <a:xfrm>
            <a:off x="285750" y="257175"/>
            <a:ext cx="7905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CO" sz="1100" b="1">
                <a:latin typeface="Georgia" panose="02040502050405020303" pitchFamily="18" charset="0"/>
              </a:rPr>
              <a:t>Inicio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790575</xdr:colOff>
      <xdr:row>6</xdr:row>
      <xdr:rowOff>9525</xdr:rowOff>
    </xdr:to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0" y="0"/>
          <a:ext cx="790575" cy="981075"/>
          <a:chOff x="285750" y="257175"/>
          <a:chExt cx="790575" cy="1019175"/>
        </a:xfrm>
      </xdr:grpSpPr>
      <xdr:pic>
        <xdr:nvPicPr>
          <xdr:cNvPr id="3" name="Imagen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5" y="552450"/>
            <a:ext cx="723900" cy="723900"/>
          </a:xfrm>
          <a:prstGeom prst="rect">
            <a:avLst/>
          </a:prstGeom>
        </xdr:spPr>
      </xdr:pic>
      <xdr:sp macro="" textlink="">
        <xdr:nvSpPr>
          <xdr:cNvPr id="4" name="CuadroTexto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 txBox="1"/>
        </xdr:nvSpPr>
        <xdr:spPr>
          <a:xfrm>
            <a:off x="285750" y="257175"/>
            <a:ext cx="7905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CO" sz="1100" b="1">
                <a:latin typeface="Georgia" panose="02040502050405020303" pitchFamily="18" charset="0"/>
              </a:rPr>
              <a:t>Inicio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790575</xdr:colOff>
      <xdr:row>6</xdr:row>
      <xdr:rowOff>9525</xdr:rowOff>
    </xdr:to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0" y="0"/>
          <a:ext cx="790575" cy="981075"/>
          <a:chOff x="285750" y="257175"/>
          <a:chExt cx="790575" cy="1019175"/>
        </a:xfrm>
      </xdr:grpSpPr>
      <xdr:pic>
        <xdr:nvPicPr>
          <xdr:cNvPr id="3" name="Imagen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5" y="552450"/>
            <a:ext cx="723900" cy="723900"/>
          </a:xfrm>
          <a:prstGeom prst="rect">
            <a:avLst/>
          </a:prstGeom>
        </xdr:spPr>
      </xdr:pic>
      <xdr:sp macro="" textlink="">
        <xdr:nvSpPr>
          <xdr:cNvPr id="4" name="CuadroTexto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 txBox="1"/>
        </xdr:nvSpPr>
        <xdr:spPr>
          <a:xfrm>
            <a:off x="285750" y="257175"/>
            <a:ext cx="7905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CO" sz="1100" b="1">
                <a:latin typeface="Georgia" panose="02040502050405020303" pitchFamily="18" charset="0"/>
              </a:rPr>
              <a:t>Inicio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657225</xdr:colOff>
      <xdr:row>8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0"/>
          <a:ext cx="11706225" cy="1600200"/>
        </a:xfrm>
        <a:prstGeom prst="rect">
          <a:avLst/>
        </a:prstGeom>
        <a:ln>
          <a:noFill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304801</xdr:colOff>
      <xdr:row>2</xdr:row>
      <xdr:rowOff>47625</xdr:rowOff>
    </xdr:from>
    <xdr:to>
      <xdr:col>8</xdr:col>
      <xdr:colOff>781051</xdr:colOff>
      <xdr:row>7</xdr:row>
      <xdr:rowOff>66674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3200401" y="447675"/>
          <a:ext cx="4857750" cy="1019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r>
            <a:rPr lang="es-CO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4">
                  <a:lumMod val="75000"/>
                </a:schemeClr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Forte" panose="03060902040502070203" pitchFamily="66" charset="0"/>
              <a:ea typeface="+mn-ea"/>
              <a:cs typeface="+mn-cs"/>
            </a:rPr>
            <a:t>Super</a:t>
          </a:r>
          <a:r>
            <a:rPr lang="es-CO" sz="54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accent4">
                  <a:lumMod val="75000"/>
                </a:schemeClr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Forte" panose="03060902040502070203" pitchFamily="66" charset="0"/>
              <a:ea typeface="+mn-ea"/>
              <a:cs typeface="+mn-cs"/>
            </a:rPr>
            <a:t> Barato</a:t>
          </a:r>
          <a:endParaRPr lang="es-CO" sz="5400" b="1" cap="none" spc="0">
            <a:ln w="9525">
              <a:solidFill>
                <a:schemeClr val="bg1"/>
              </a:solidFill>
              <a:prstDash val="solid"/>
            </a:ln>
            <a:solidFill>
              <a:schemeClr val="accent4">
                <a:lumMod val="75000"/>
              </a:schemeClr>
            </a:solidFill>
            <a:effectLst>
              <a:outerShdw blurRad="12700" dist="38100" dir="2700000" algn="tl" rotWithShape="0">
                <a:schemeClr val="accent5">
                  <a:lumMod val="60000"/>
                  <a:lumOff val="40000"/>
                </a:schemeClr>
              </a:outerShdw>
            </a:effectLst>
            <a:latin typeface="Forte" panose="03060902040502070203" pitchFamily="66" charset="0"/>
          </a:endParaRPr>
        </a:p>
      </xdr:txBody>
    </xdr:sp>
    <xdr:clientData/>
  </xdr:twoCellAnchor>
  <xdr:twoCellAnchor>
    <xdr:from>
      <xdr:col>4</xdr:col>
      <xdr:colOff>342901</xdr:colOff>
      <xdr:row>1</xdr:row>
      <xdr:rowOff>95250</xdr:rowOff>
    </xdr:from>
    <xdr:to>
      <xdr:col>7</xdr:col>
      <xdr:colOff>666751</xdr:colOff>
      <xdr:row>3</xdr:row>
      <xdr:rowOff>57149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4076701" y="295275"/>
          <a:ext cx="3095625" cy="361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2000" b="1" baseline="0">
              <a:solidFill>
                <a:srgbClr val="EE6358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Georgia" panose="02040502050405020303" pitchFamily="18" charset="0"/>
              <a:ea typeface="+mn-ea"/>
              <a:cs typeface="+mn-cs"/>
            </a:rPr>
            <a:t>Supermercado</a:t>
          </a:r>
          <a:endParaRPr lang="es-CO" sz="2000">
            <a:solidFill>
              <a:srgbClr val="EE6358"/>
            </a:solidFill>
            <a:effectLst/>
            <a:latin typeface="Georgia" panose="02040502050405020303" pitchFamily="18" charset="0"/>
          </a:endParaRPr>
        </a:p>
        <a:p>
          <a:endParaRPr lang="es-CO" sz="2000">
            <a:solidFill>
              <a:srgbClr val="EE6358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oneCell">
    <xdr:from>
      <xdr:col>8</xdr:col>
      <xdr:colOff>428627</xdr:colOff>
      <xdr:row>2</xdr:row>
      <xdr:rowOff>152401</xdr:rowOff>
    </xdr:from>
    <xdr:to>
      <xdr:col>9</xdr:col>
      <xdr:colOff>47627</xdr:colOff>
      <xdr:row>7</xdr:row>
      <xdr:rowOff>123826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727" y="552451"/>
          <a:ext cx="971550" cy="971550"/>
        </a:xfrm>
        <a:prstGeom prst="rect">
          <a:avLst/>
        </a:prstGeom>
      </xdr:spPr>
    </xdr:pic>
    <xdr:clientData/>
  </xdr:twoCellAnchor>
  <xdr:twoCellAnchor>
    <xdr:from>
      <xdr:col>0</xdr:col>
      <xdr:colOff>285750</xdr:colOff>
      <xdr:row>1</xdr:row>
      <xdr:rowOff>57150</xdr:rowOff>
    </xdr:from>
    <xdr:to>
      <xdr:col>1</xdr:col>
      <xdr:colOff>238125</xdr:colOff>
      <xdr:row>6</xdr:row>
      <xdr:rowOff>76200</xdr:rowOff>
    </xdr:to>
    <xdr:grpSp>
      <xdr:nvGrpSpPr>
        <xdr:cNvPr id="7" name="Grup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pSpPr/>
      </xdr:nvGrpSpPr>
      <xdr:grpSpPr>
        <a:xfrm>
          <a:off x="285750" y="257175"/>
          <a:ext cx="790575" cy="1019175"/>
          <a:chOff x="285750" y="257175"/>
          <a:chExt cx="790575" cy="1019175"/>
        </a:xfrm>
      </xdr:grpSpPr>
      <xdr:pic>
        <xdr:nvPicPr>
          <xdr:cNvPr id="8" name="Imagen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5" y="552450"/>
            <a:ext cx="723900" cy="723900"/>
          </a:xfrm>
          <a:prstGeom prst="rect">
            <a:avLst/>
          </a:prstGeom>
        </xdr:spPr>
      </xdr:pic>
      <xdr:sp macro="" textlink="">
        <xdr:nvSpPr>
          <xdr:cNvPr id="9" name="CuadroTexto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 txBox="1"/>
        </xdr:nvSpPr>
        <xdr:spPr>
          <a:xfrm>
            <a:off x="285750" y="257175"/>
            <a:ext cx="7905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CO" sz="1100" b="1">
                <a:latin typeface="Georgia" panose="02040502050405020303" pitchFamily="18" charset="0"/>
              </a:rPr>
              <a:t>Inicio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104775</xdr:colOff>
      <xdr:row>39</xdr:row>
      <xdr:rowOff>47625</xdr:rowOff>
    </xdr:from>
    <xdr:to>
      <xdr:col>2</xdr:col>
      <xdr:colOff>656615</xdr:colOff>
      <xdr:row>39</xdr:row>
      <xdr:rowOff>599465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775" y="6362700"/>
          <a:ext cx="551840" cy="551840"/>
        </a:xfrm>
        <a:prstGeom prst="rect">
          <a:avLst/>
        </a:prstGeom>
      </xdr:spPr>
    </xdr:pic>
    <xdr:clientData/>
  </xdr:twoCellAnchor>
  <xdr:twoCellAnchor editAs="oneCell">
    <xdr:from>
      <xdr:col>2</xdr:col>
      <xdr:colOff>85725</xdr:colOff>
      <xdr:row>40</xdr:row>
      <xdr:rowOff>38100</xdr:rowOff>
    </xdr:from>
    <xdr:to>
      <xdr:col>2</xdr:col>
      <xdr:colOff>685037</xdr:colOff>
      <xdr:row>40</xdr:row>
      <xdr:rowOff>637412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9725" y="7010400"/>
          <a:ext cx="599312" cy="599312"/>
        </a:xfrm>
        <a:prstGeom prst="rect">
          <a:avLst/>
        </a:prstGeom>
      </xdr:spPr>
    </xdr:pic>
    <xdr:clientData/>
  </xdr:twoCellAnchor>
  <xdr:twoCellAnchor editAs="oneCell">
    <xdr:from>
      <xdr:col>2</xdr:col>
      <xdr:colOff>104776</xdr:colOff>
      <xdr:row>41</xdr:row>
      <xdr:rowOff>66674</xdr:rowOff>
    </xdr:from>
    <xdr:to>
      <xdr:col>2</xdr:col>
      <xdr:colOff>656615</xdr:colOff>
      <xdr:row>41</xdr:row>
      <xdr:rowOff>618513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776" y="7696199"/>
          <a:ext cx="551839" cy="551839"/>
        </a:xfrm>
        <a:prstGeom prst="rect">
          <a:avLst/>
        </a:prstGeom>
      </xdr:spPr>
    </xdr:pic>
    <xdr:clientData/>
  </xdr:twoCellAnchor>
  <xdr:twoCellAnchor editAs="oneCell">
    <xdr:from>
      <xdr:col>2</xdr:col>
      <xdr:colOff>104774</xdr:colOff>
      <xdr:row>42</xdr:row>
      <xdr:rowOff>66674</xdr:rowOff>
    </xdr:from>
    <xdr:to>
      <xdr:col>2</xdr:col>
      <xdr:colOff>666139</xdr:colOff>
      <xdr:row>42</xdr:row>
      <xdr:rowOff>628039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774" y="8353424"/>
          <a:ext cx="561365" cy="561365"/>
        </a:xfrm>
        <a:prstGeom prst="rect">
          <a:avLst/>
        </a:prstGeom>
      </xdr:spPr>
    </xdr:pic>
    <xdr:clientData/>
  </xdr:twoCellAnchor>
  <xdr:twoCellAnchor editAs="oneCell">
    <xdr:from>
      <xdr:col>2</xdr:col>
      <xdr:colOff>38100</xdr:colOff>
      <xdr:row>43</xdr:row>
      <xdr:rowOff>38100</xdr:rowOff>
    </xdr:from>
    <xdr:to>
      <xdr:col>2</xdr:col>
      <xdr:colOff>628040</xdr:colOff>
      <xdr:row>43</xdr:row>
      <xdr:rowOff>628040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0" y="8982075"/>
          <a:ext cx="589940" cy="5899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39</xdr:row>
          <xdr:rowOff>9525</xdr:rowOff>
        </xdr:from>
        <xdr:to>
          <xdr:col>6</xdr:col>
          <xdr:colOff>0</xdr:colOff>
          <xdr:row>40</xdr:row>
          <xdr:rowOff>9525</xdr:rowOff>
        </xdr:to>
        <xdr:pic>
          <xdr:nvPicPr>
            <xdr:cNvPr id="12" name="Imagen 11">
              <a:extLst>
                <a:ext uri="{FF2B5EF4-FFF2-40B4-BE49-F238E27FC236}">
                  <a16:creationId xmlns:a16="http://schemas.microsoft.com/office/drawing/2014/main" id="{00000000-0008-0000-0700-00000C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ETECTOR" spid="_x0000_s9318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895725" y="6324600"/>
              <a:ext cx="790575" cy="657225"/>
            </a:xfrm>
            <a:prstGeom prst="rect">
              <a:avLst/>
            </a:prstGeom>
            <a:ln>
              <a:noFill/>
            </a:ln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9525</xdr:rowOff>
    </xdr:from>
    <xdr:to>
      <xdr:col>3</xdr:col>
      <xdr:colOff>0</xdr:colOff>
      <xdr:row>59</xdr:row>
      <xdr:rowOff>9525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00000000-0008-0000-08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6225" y="7124700"/>
              <a:ext cx="2209800" cy="2914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4</xdr:col>
      <xdr:colOff>0</xdr:colOff>
      <xdr:row>40</xdr:row>
      <xdr:rowOff>161924</xdr:rowOff>
    </xdr:from>
    <xdr:to>
      <xdr:col>5</xdr:col>
      <xdr:colOff>1095375</xdr:colOff>
      <xdr:row>59</xdr:row>
      <xdr:rowOff>19050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Gráfico 3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90925" y="7115174"/>
              <a:ext cx="2371725" cy="29337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0</xdr:row>
      <xdr:rowOff>0</xdr:rowOff>
    </xdr:from>
    <xdr:to>
      <xdr:col>7</xdr:col>
      <xdr:colOff>714375</xdr:colOff>
      <xdr:row>8</xdr:row>
      <xdr:rowOff>0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0" y="0"/>
          <a:ext cx="7448550" cy="1295400"/>
        </a:xfrm>
        <a:prstGeom prst="rect">
          <a:avLst/>
        </a:prstGeom>
        <a:ln>
          <a:noFill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876300</xdr:colOff>
      <xdr:row>2</xdr:row>
      <xdr:rowOff>66675</xdr:rowOff>
    </xdr:from>
    <xdr:to>
      <xdr:col>5</xdr:col>
      <xdr:colOff>1104473</xdr:colOff>
      <xdr:row>7</xdr:row>
      <xdr:rowOff>76199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1152525" y="390525"/>
          <a:ext cx="4819223" cy="81914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wrap="square" rtlCol="0" anchor="b"/>
        <a:lstStyle/>
        <a:p>
          <a:pPr algn="ctr"/>
          <a:r>
            <a:rPr lang="es-CO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4">
                  <a:lumMod val="75000"/>
                </a:schemeClr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Forte" panose="03060902040502070203" pitchFamily="66" charset="0"/>
              <a:ea typeface="+mn-ea"/>
              <a:cs typeface="+mn-cs"/>
            </a:rPr>
            <a:t>Super</a:t>
          </a:r>
          <a:r>
            <a:rPr lang="es-CO" sz="54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accent4">
                  <a:lumMod val="75000"/>
                </a:schemeClr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Forte" panose="03060902040502070203" pitchFamily="66" charset="0"/>
              <a:ea typeface="+mn-ea"/>
              <a:cs typeface="+mn-cs"/>
            </a:rPr>
            <a:t> Barato</a:t>
          </a:r>
          <a:endParaRPr lang="es-CO" sz="5400" b="1" cap="none" spc="0">
            <a:ln w="9525">
              <a:solidFill>
                <a:schemeClr val="bg1"/>
              </a:solidFill>
              <a:prstDash val="solid"/>
            </a:ln>
            <a:solidFill>
              <a:schemeClr val="accent4">
                <a:lumMod val="75000"/>
              </a:schemeClr>
            </a:solidFill>
            <a:effectLst>
              <a:outerShdw blurRad="12700" dist="38100" dir="2700000" algn="tl" rotWithShape="0">
                <a:schemeClr val="accent5">
                  <a:lumMod val="60000"/>
                  <a:lumOff val="40000"/>
                </a:schemeClr>
              </a:outerShdw>
            </a:effectLst>
            <a:latin typeface="Forte" panose="03060902040502070203" pitchFamily="66" charset="0"/>
          </a:endParaRPr>
        </a:p>
      </xdr:txBody>
    </xdr:sp>
    <xdr:clientData/>
  </xdr:twoCellAnchor>
  <xdr:twoCellAnchor>
    <xdr:from>
      <xdr:col>2</xdr:col>
      <xdr:colOff>609601</xdr:colOff>
      <xdr:row>0</xdr:row>
      <xdr:rowOff>104775</xdr:rowOff>
    </xdr:from>
    <xdr:to>
      <xdr:col>5</xdr:col>
      <xdr:colOff>433957</xdr:colOff>
      <xdr:row>2</xdr:row>
      <xdr:rowOff>142874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/>
      </xdr:nvSpPr>
      <xdr:spPr>
        <a:xfrm>
          <a:off x="1990726" y="104775"/>
          <a:ext cx="3310506" cy="361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2000" b="1" baseline="0">
              <a:solidFill>
                <a:srgbClr val="EE6358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Georgia" panose="02040502050405020303" pitchFamily="18" charset="0"/>
              <a:ea typeface="+mn-ea"/>
              <a:cs typeface="+mn-cs"/>
            </a:rPr>
            <a:t>Supermercado</a:t>
          </a:r>
          <a:endParaRPr lang="es-CO" sz="2000">
            <a:solidFill>
              <a:srgbClr val="EE6358"/>
            </a:solidFill>
            <a:effectLst/>
            <a:latin typeface="Georgia" panose="02040502050405020303" pitchFamily="18" charset="0"/>
          </a:endParaRPr>
        </a:p>
        <a:p>
          <a:endParaRPr lang="es-CO" sz="2000">
            <a:solidFill>
              <a:srgbClr val="EE6358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oneCell">
    <xdr:from>
      <xdr:col>5</xdr:col>
      <xdr:colOff>790576</xdr:colOff>
      <xdr:row>2</xdr:row>
      <xdr:rowOff>95251</xdr:rowOff>
    </xdr:from>
    <xdr:to>
      <xdr:col>6</xdr:col>
      <xdr:colOff>748581</xdr:colOff>
      <xdr:row>8</xdr:row>
      <xdr:rowOff>95251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1" y="419101"/>
          <a:ext cx="1062905" cy="9715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123825</xdr:rowOff>
    </xdr:from>
    <xdr:to>
      <xdr:col>1</xdr:col>
      <xdr:colOff>514350</xdr:colOff>
      <xdr:row>6</xdr:row>
      <xdr:rowOff>133350</xdr:rowOff>
    </xdr:to>
    <xdr:grpSp>
      <xdr:nvGrpSpPr>
        <xdr:cNvPr id="9" name="Grup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pSpPr/>
      </xdr:nvGrpSpPr>
      <xdr:grpSpPr>
        <a:xfrm>
          <a:off x="0" y="123825"/>
          <a:ext cx="790575" cy="981075"/>
          <a:chOff x="285750" y="257175"/>
          <a:chExt cx="790575" cy="1019175"/>
        </a:xfrm>
      </xdr:grpSpPr>
      <xdr:pic>
        <xdr:nvPicPr>
          <xdr:cNvPr id="10" name="Imagen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5" y="552450"/>
            <a:ext cx="723900" cy="723900"/>
          </a:xfrm>
          <a:prstGeom prst="rect">
            <a:avLst/>
          </a:prstGeom>
        </xdr:spPr>
      </xdr:pic>
      <xdr:sp macro="" textlink="">
        <xdr:nvSpPr>
          <xdr:cNvPr id="11" name="CuadroTexto 10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SpPr txBox="1"/>
        </xdr:nvSpPr>
        <xdr:spPr>
          <a:xfrm>
            <a:off x="285750" y="257175"/>
            <a:ext cx="7905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CO" sz="1100" b="1">
                <a:latin typeface="Georgia" panose="02040502050405020303" pitchFamily="18" charset="0"/>
              </a:rPr>
              <a:t>Inicio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797719</xdr:colOff>
      <xdr:row>6</xdr:row>
      <xdr:rowOff>190500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0"/>
          <a:ext cx="12837319" cy="1352550"/>
        </a:xfrm>
        <a:prstGeom prst="rect">
          <a:avLst/>
        </a:prstGeom>
        <a:ln>
          <a:noFill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5</xdr:col>
      <xdr:colOff>828677</xdr:colOff>
      <xdr:row>1</xdr:row>
      <xdr:rowOff>9525</xdr:rowOff>
    </xdr:from>
    <xdr:to>
      <xdr:col>9</xdr:col>
      <xdr:colOff>685801</xdr:colOff>
      <xdr:row>3</xdr:row>
      <xdr:rowOff>142875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 txBox="1"/>
      </xdr:nvSpPr>
      <xdr:spPr>
        <a:xfrm>
          <a:off x="4181477" y="209550"/>
          <a:ext cx="3209924" cy="533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r>
            <a:rPr lang="es-CO" sz="40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4">
                  <a:lumMod val="75000"/>
                </a:schemeClr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Forte" panose="03060902040502070203" pitchFamily="66" charset="0"/>
              <a:ea typeface="+mn-ea"/>
              <a:cs typeface="+mn-cs"/>
            </a:rPr>
            <a:t>Super</a:t>
          </a:r>
          <a:r>
            <a:rPr lang="es-CO" sz="40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accent4">
                  <a:lumMod val="75000"/>
                </a:schemeClr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Forte" panose="03060902040502070203" pitchFamily="66" charset="0"/>
              <a:ea typeface="+mn-ea"/>
              <a:cs typeface="+mn-cs"/>
            </a:rPr>
            <a:t> Barato</a:t>
          </a:r>
          <a:endParaRPr lang="es-CO" sz="4000" b="1" cap="none" spc="0">
            <a:ln w="9525">
              <a:solidFill>
                <a:schemeClr val="bg1"/>
              </a:solidFill>
              <a:prstDash val="solid"/>
            </a:ln>
            <a:solidFill>
              <a:schemeClr val="accent4">
                <a:lumMod val="75000"/>
              </a:schemeClr>
            </a:solidFill>
            <a:effectLst>
              <a:outerShdw blurRad="12700" dist="38100" dir="2700000" algn="tl" rotWithShape="0">
                <a:schemeClr val="accent5">
                  <a:lumMod val="60000"/>
                  <a:lumOff val="40000"/>
                </a:schemeClr>
              </a:outerShdw>
            </a:effectLst>
            <a:latin typeface="Forte" panose="03060902040502070203" pitchFamily="66" charset="0"/>
          </a:endParaRPr>
        </a:p>
      </xdr:txBody>
    </xdr:sp>
    <xdr:clientData/>
  </xdr:twoCellAnchor>
  <xdr:twoCellAnchor>
    <xdr:from>
      <xdr:col>3</xdr:col>
      <xdr:colOff>190500</xdr:colOff>
      <xdr:row>3</xdr:row>
      <xdr:rowOff>161925</xdr:rowOff>
    </xdr:from>
    <xdr:to>
      <xdr:col>13</xdr:col>
      <xdr:colOff>133349</xdr:colOff>
      <xdr:row>6</xdr:row>
      <xdr:rowOff>76200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 txBox="1"/>
      </xdr:nvSpPr>
      <xdr:spPr>
        <a:xfrm>
          <a:off x="1866900" y="762000"/>
          <a:ext cx="8324849" cy="514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2800" b="1" baseline="0">
              <a:solidFill>
                <a:srgbClr val="EE6358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Georgia" panose="02040502050405020303" pitchFamily="18" charset="0"/>
              <a:ea typeface="+mn-ea"/>
              <a:cs typeface="+mn-cs"/>
            </a:rPr>
            <a:t>Dashboard año 2023</a:t>
          </a:r>
          <a:endParaRPr lang="es-CO" sz="2800">
            <a:solidFill>
              <a:srgbClr val="EE6358"/>
            </a:solidFill>
            <a:effectLst/>
            <a:latin typeface="Georgia" panose="02040502050405020303" pitchFamily="18" charset="0"/>
          </a:endParaRPr>
        </a:p>
        <a:p>
          <a:endParaRPr lang="es-CO" sz="2800">
            <a:solidFill>
              <a:srgbClr val="EE6358"/>
            </a:solidFill>
            <a:latin typeface="Georgia" panose="02040502050405020303" pitchFamily="18" charset="0"/>
          </a:endParaRPr>
        </a:p>
      </xdr:txBody>
    </xdr:sp>
    <xdr:clientData/>
  </xdr:twoCellAnchor>
  <xdr:twoCellAnchor>
    <xdr:from>
      <xdr:col>1</xdr:col>
      <xdr:colOff>828675</xdr:colOff>
      <xdr:row>0</xdr:row>
      <xdr:rowOff>133350</xdr:rowOff>
    </xdr:from>
    <xdr:to>
      <xdr:col>2</xdr:col>
      <xdr:colOff>781050</xdr:colOff>
      <xdr:row>5</xdr:row>
      <xdr:rowOff>152400</xdr:rowOff>
    </xdr:to>
    <xdr:grpSp>
      <xdr:nvGrpSpPr>
        <xdr:cNvPr id="21" name="Grupo 2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130300" y="133350"/>
          <a:ext cx="793750" cy="1003300"/>
          <a:chOff x="285750" y="257175"/>
          <a:chExt cx="790575" cy="1019175"/>
        </a:xfrm>
      </xdr:grpSpPr>
      <xdr:pic>
        <xdr:nvPicPr>
          <xdr:cNvPr id="22" name="Imagen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5" y="552450"/>
            <a:ext cx="723900" cy="723900"/>
          </a:xfrm>
          <a:prstGeom prst="rect">
            <a:avLst/>
          </a:prstGeom>
        </xdr:spPr>
      </xdr:pic>
      <xdr:sp macro="" textlink="">
        <xdr:nvSpPr>
          <xdr:cNvPr id="23" name="CuadroTexto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SpPr txBox="1"/>
        </xdr:nvSpPr>
        <xdr:spPr>
          <a:xfrm>
            <a:off x="285750" y="257175"/>
            <a:ext cx="7905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CO" sz="1100" b="1">
                <a:latin typeface="Georgia" panose="02040502050405020303" pitchFamily="18" charset="0"/>
              </a:rPr>
              <a:t>Inicio</a:t>
            </a:r>
          </a:p>
        </xdr:txBody>
      </xdr:sp>
    </xdr:grpSp>
    <xdr:clientData/>
  </xdr:twoCellAnchor>
  <xdr:twoCellAnchor>
    <xdr:from>
      <xdr:col>1</xdr:col>
      <xdr:colOff>3967</xdr:colOff>
      <xdr:row>40</xdr:row>
      <xdr:rowOff>38100</xdr:rowOff>
    </xdr:from>
    <xdr:to>
      <xdr:col>10</xdr:col>
      <xdr:colOff>682625</xdr:colOff>
      <xdr:row>53</xdr:row>
      <xdr:rowOff>15874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406400</xdr:colOff>
      <xdr:row>41</xdr:row>
      <xdr:rowOff>187324</xdr:rowOff>
    </xdr:from>
    <xdr:to>
      <xdr:col>15</xdr:col>
      <xdr:colOff>831850</xdr:colOff>
      <xdr:row>53</xdr:row>
      <xdr:rowOff>22224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301624</xdr:colOff>
      <xdr:row>20</xdr:row>
      <xdr:rowOff>90486</xdr:rowOff>
    </xdr:from>
    <xdr:to>
      <xdr:col>10</xdr:col>
      <xdr:colOff>690562</xdr:colOff>
      <xdr:row>39</xdr:row>
      <xdr:rowOff>131762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746126</xdr:colOff>
      <xdr:row>41</xdr:row>
      <xdr:rowOff>187324</xdr:rowOff>
    </xdr:from>
    <xdr:to>
      <xdr:col>13</xdr:col>
      <xdr:colOff>374650</xdr:colOff>
      <xdr:row>53</xdr:row>
      <xdr:rowOff>22224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130969</xdr:colOff>
      <xdr:row>6</xdr:row>
      <xdr:rowOff>186531</xdr:rowOff>
    </xdr:from>
    <xdr:to>
      <xdr:col>10</xdr:col>
      <xdr:colOff>650875</xdr:colOff>
      <xdr:row>20</xdr:row>
      <xdr:rowOff>15875</xdr:rowOff>
    </xdr:to>
    <xdr:grpSp>
      <xdr:nvGrpSpPr>
        <xdr:cNvPr id="58" name="Grupo 57">
          <a:extLs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GrpSpPr/>
      </xdr:nvGrpSpPr>
      <xdr:grpSpPr>
        <a:xfrm>
          <a:off x="2956719" y="1377156"/>
          <a:ext cx="5568156" cy="2718594"/>
          <a:chOff x="3924300" y="5600700"/>
          <a:chExt cx="5229225" cy="2400299"/>
        </a:xfrm>
        <a:noFill/>
      </xdr:grpSpPr>
      <xdr:grpSp>
        <xdr:nvGrpSpPr>
          <xdr:cNvPr id="57" name="Grupo 56">
            <a:extLst>
              <a:ext uri="{FF2B5EF4-FFF2-40B4-BE49-F238E27FC236}">
                <a16:creationId xmlns:a16="http://schemas.microsoft.com/office/drawing/2014/main" id="{00000000-0008-0000-0900-000039000000}"/>
              </a:ext>
            </a:extLst>
          </xdr:cNvPr>
          <xdr:cNvGrpSpPr/>
        </xdr:nvGrpSpPr>
        <xdr:grpSpPr>
          <a:xfrm>
            <a:off x="3924301" y="6000750"/>
            <a:ext cx="5229224" cy="2000249"/>
            <a:chOff x="3924301" y="6000750"/>
            <a:chExt cx="5229224" cy="2000249"/>
          </a:xfrm>
          <a:grpFill/>
        </xdr:grpSpPr>
        <xdr:graphicFrame macro="">
          <xdr:nvGraphicFramePr>
            <xdr:cNvPr id="35" name="Gráfico 34">
              <a:extLst>
                <a:ext uri="{FF2B5EF4-FFF2-40B4-BE49-F238E27FC236}">
                  <a16:creationId xmlns:a16="http://schemas.microsoft.com/office/drawing/2014/main" id="{00000000-0008-0000-0900-000023000000}"/>
                </a:ext>
              </a:extLst>
            </xdr:cNvPr>
            <xdr:cNvGraphicFramePr>
              <a:graphicFrameLocks/>
            </xdr:cNvGraphicFramePr>
          </xdr:nvGraphicFramePr>
          <xdr:xfrm>
            <a:off x="3924301" y="6010275"/>
            <a:ext cx="1714499" cy="1981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  <xdr:graphicFrame macro="">
          <xdr:nvGraphicFramePr>
            <xdr:cNvPr id="36" name="Gráfico 35">
              <a:extLst>
                <a:ext uri="{FF2B5EF4-FFF2-40B4-BE49-F238E27FC236}">
                  <a16:creationId xmlns:a16="http://schemas.microsoft.com/office/drawing/2014/main" id="{00000000-0008-0000-0900-000024000000}"/>
                </a:ext>
              </a:extLst>
            </xdr:cNvPr>
            <xdr:cNvGraphicFramePr>
              <a:graphicFrameLocks/>
            </xdr:cNvGraphicFramePr>
          </xdr:nvGraphicFramePr>
          <xdr:xfrm>
            <a:off x="5734050" y="6010274"/>
            <a:ext cx="1647825" cy="199072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8"/>
            </a:graphicData>
          </a:graphic>
        </xdr:graphicFrame>
        <xdr:graphicFrame macro="">
          <xdr:nvGraphicFramePr>
            <xdr:cNvPr id="37" name="Gráfico 36">
              <a:extLst>
                <a:ext uri="{FF2B5EF4-FFF2-40B4-BE49-F238E27FC236}">
                  <a16:creationId xmlns:a16="http://schemas.microsoft.com/office/drawing/2014/main" id="{00000000-0008-0000-0900-000025000000}"/>
                </a:ext>
              </a:extLst>
            </xdr:cNvPr>
            <xdr:cNvGraphicFramePr>
              <a:graphicFrameLocks/>
            </xdr:cNvGraphicFramePr>
          </xdr:nvGraphicFramePr>
          <xdr:xfrm>
            <a:off x="7477125" y="6000750"/>
            <a:ext cx="1676400" cy="1981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</xdr:grpSp>
      <xdr:sp macro="" textlink="">
        <xdr:nvSpPr>
          <xdr:cNvPr id="38" name="CuadroTexto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SpPr txBox="1"/>
        </xdr:nvSpPr>
        <xdr:spPr>
          <a:xfrm>
            <a:off x="3924300" y="5600700"/>
            <a:ext cx="5229225" cy="390525"/>
          </a:xfrm>
          <a:prstGeom prst="rect">
            <a:avLst/>
          </a:prstGeom>
          <a:ln/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s-CO" sz="1800">
                <a:solidFill>
                  <a:schemeClr val="accent4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KPI Anual Sedes (Meta C/U: $4.200.000</a:t>
            </a:r>
          </a:p>
        </xdr:txBody>
      </xdr:sp>
    </xdr:grpSp>
    <xdr:clientData/>
  </xdr:twoCellAnchor>
  <xdr:twoCellAnchor editAs="oneCell">
    <xdr:from>
      <xdr:col>13</xdr:col>
      <xdr:colOff>247649</xdr:colOff>
      <xdr:row>13</xdr:row>
      <xdr:rowOff>158750</xdr:rowOff>
    </xdr:from>
    <xdr:to>
      <xdr:col>15</xdr:col>
      <xdr:colOff>835818</xdr:colOff>
      <xdr:row>21</xdr:row>
      <xdr:rowOff>190500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4" name="Categoría">
              <a:extLst>
                <a:ext uri="{FF2B5EF4-FFF2-40B4-BE49-F238E27FC236}">
                  <a16:creationId xmlns:a16="http://schemas.microsoft.com/office/drawing/2014/main" id="{00000000-0008-0000-0900-00003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í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10849" y="2720975"/>
              <a:ext cx="2264569" cy="1631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10</xdr:col>
      <xdr:colOff>730248</xdr:colOff>
      <xdr:row>22</xdr:row>
      <xdr:rowOff>47626</xdr:rowOff>
    </xdr:from>
    <xdr:to>
      <xdr:col>15</xdr:col>
      <xdr:colOff>815975</xdr:colOff>
      <xdr:row>41</xdr:row>
      <xdr:rowOff>139700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501649</xdr:colOff>
      <xdr:row>10</xdr:row>
      <xdr:rowOff>31751</xdr:rowOff>
    </xdr:from>
    <xdr:to>
      <xdr:col>15</xdr:col>
      <xdr:colOff>828675</xdr:colOff>
      <xdr:row>13</xdr:row>
      <xdr:rowOff>132273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 txBox="1"/>
      </xdr:nvSpPr>
      <xdr:spPr>
        <a:xfrm>
          <a:off x="10864849" y="1993901"/>
          <a:ext cx="2003426" cy="700597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>
              <a:solidFill>
                <a:schemeClr val="accent4">
                  <a:lumMod val="50000"/>
                </a:schemeClr>
              </a:solidFill>
            </a:rPr>
            <a:t>Total</a:t>
          </a:r>
          <a:r>
            <a:rPr lang="es-CO" sz="1800" baseline="0">
              <a:solidFill>
                <a:schemeClr val="accent4">
                  <a:lumMod val="50000"/>
                </a:schemeClr>
              </a:solidFill>
            </a:rPr>
            <a:t> Ventas</a:t>
          </a:r>
          <a:endParaRPr lang="es-CO" sz="1800">
            <a:solidFill>
              <a:schemeClr val="accent4">
                <a:lumMod val="50000"/>
              </a:schemeClr>
            </a:solidFill>
          </a:endParaRPr>
        </a:p>
        <a:p>
          <a:pPr algn="ctr"/>
          <a:r>
            <a:rPr lang="es-CO" sz="1800">
              <a:solidFill>
                <a:schemeClr val="accent4">
                  <a:lumMod val="50000"/>
                </a:schemeClr>
              </a:solidFill>
            </a:rPr>
            <a:t>$10.614.412 </a:t>
          </a:r>
        </a:p>
      </xdr:txBody>
    </xdr:sp>
    <xdr:clientData/>
  </xdr:twoCellAnchor>
  <xdr:twoCellAnchor editAs="oneCell">
    <xdr:from>
      <xdr:col>10</xdr:col>
      <xdr:colOff>742950</xdr:colOff>
      <xdr:row>7</xdr:row>
      <xdr:rowOff>2383</xdr:rowOff>
    </xdr:from>
    <xdr:to>
      <xdr:col>15</xdr:col>
      <xdr:colOff>838199</xdr:colOff>
      <xdr:row>10</xdr:row>
      <xdr:rowOff>9526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Trimestre">
              <a:extLst>
                <a:ext uri="{FF2B5EF4-FFF2-40B4-BE49-F238E27FC236}">
                  <a16:creationId xmlns:a16="http://schemas.microsoft.com/office/drawing/2014/main" id="{00000000-0008-0000-0900-00001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imestr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91550" y="1364458"/>
              <a:ext cx="4286249" cy="60721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16</xdr:row>
          <xdr:rowOff>66674</xdr:rowOff>
        </xdr:from>
        <xdr:to>
          <xdr:col>12</xdr:col>
          <xdr:colOff>571500</xdr:colOff>
          <xdr:row>20</xdr:row>
          <xdr:rowOff>177186</xdr:rowOff>
        </xdr:to>
        <xdr:pic>
          <xdr:nvPicPr>
            <xdr:cNvPr id="26" name="Imagen 25">
              <a:extLst>
                <a:ext uri="{FF2B5EF4-FFF2-40B4-BE49-F238E27FC236}">
                  <a16:creationId xmlns:a16="http://schemas.microsoft.com/office/drawing/2014/main" id="{00000000-0008-0000-0900-00001A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ETECTOR2" spid="_x0000_s3175"/>
                </a:ext>
              </a:extLst>
            </xdr:cNvPicPr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9001125" y="3228974"/>
              <a:ext cx="1095375" cy="910612"/>
            </a:xfrm>
            <a:prstGeom prst="rect">
              <a:avLst/>
            </a:prstGeom>
            <a:ln>
              <a:noFill/>
            </a:ln>
          </xdr:spPr>
        </xdr:pic>
        <xdr:clientData/>
      </xdr:twoCellAnchor>
    </mc:Choice>
    <mc:Fallback/>
  </mc:AlternateContent>
  <xdr:twoCellAnchor editAs="oneCell">
    <xdr:from>
      <xdr:col>10</xdr:col>
      <xdr:colOff>752475</xdr:colOff>
      <xdr:row>10</xdr:row>
      <xdr:rowOff>66676</xdr:rowOff>
    </xdr:from>
    <xdr:to>
      <xdr:col>13</xdr:col>
      <xdr:colOff>476250</xdr:colOff>
      <xdr:row>13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Nombre Sucursal">
              <a:extLst>
                <a:ext uri="{FF2B5EF4-FFF2-40B4-BE49-F238E27FC236}">
                  <a16:creationId xmlns:a16="http://schemas.microsoft.com/office/drawing/2014/main" id="{00000000-0008-0000-0900-00001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Sucurs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01075" y="2028826"/>
              <a:ext cx="2238375" cy="6381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</xdr:row>
          <xdr:rowOff>123825</xdr:rowOff>
        </xdr:from>
        <xdr:to>
          <xdr:col>1</xdr:col>
          <xdr:colOff>723900</xdr:colOff>
          <xdr:row>11</xdr:row>
          <xdr:rowOff>114300</xdr:rowOff>
        </xdr:to>
        <xdr:sp macro="" textlink="">
          <xdr:nvSpPr>
            <xdr:cNvPr id="3102" name="Option 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9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D2F1DA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Centro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10</xdr:row>
          <xdr:rowOff>123825</xdr:rowOff>
        </xdr:from>
        <xdr:to>
          <xdr:col>2</xdr:col>
          <xdr:colOff>714375</xdr:colOff>
          <xdr:row>11</xdr:row>
          <xdr:rowOff>114300</xdr:rowOff>
        </xdr:to>
        <xdr:sp macro="" textlink="">
          <xdr:nvSpPr>
            <xdr:cNvPr id="3103" name="Option Butto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9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D2F1DA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34A853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Norte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10</xdr:row>
          <xdr:rowOff>114300</xdr:rowOff>
        </xdr:from>
        <xdr:to>
          <xdr:col>3</xdr:col>
          <xdr:colOff>695325</xdr:colOff>
          <xdr:row>11</xdr:row>
          <xdr:rowOff>104775</xdr:rowOff>
        </xdr:to>
        <xdr:sp macro="" textlink="">
          <xdr:nvSpPr>
            <xdr:cNvPr id="3104" name="Option 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9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D2F1DA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Sur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438150</xdr:colOff>
      <xdr:row>7</xdr:row>
      <xdr:rowOff>21450</xdr:rowOff>
    </xdr:from>
    <xdr:to>
      <xdr:col>2</xdr:col>
      <xdr:colOff>244640</xdr:colOff>
      <xdr:row>10</xdr:row>
      <xdr:rowOff>66065</xdr:rowOff>
    </xdr:to>
    <xdr:pic macro="[0]!CambiarTemaClaro">
      <xdr:nvPicPr>
        <xdr:cNvPr id="4" name="Imagen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" y="1383525"/>
          <a:ext cx="644690" cy="644690"/>
        </a:xfrm>
        <a:prstGeom prst="rect">
          <a:avLst/>
        </a:prstGeom>
      </xdr:spPr>
    </xdr:pic>
    <xdr:clientData/>
  </xdr:twoCellAnchor>
  <xdr:twoCellAnchor editAs="oneCell">
    <xdr:from>
      <xdr:col>2</xdr:col>
      <xdr:colOff>511950</xdr:colOff>
      <xdr:row>7</xdr:row>
      <xdr:rowOff>19050</xdr:rowOff>
    </xdr:from>
    <xdr:to>
      <xdr:col>3</xdr:col>
      <xdr:colOff>318440</xdr:colOff>
      <xdr:row>10</xdr:row>
      <xdr:rowOff>63665</xdr:rowOff>
    </xdr:to>
    <xdr:pic macro="[0]!CambiarTemaOscuro">
      <xdr:nvPicPr>
        <xdr:cNvPr id="6" name="Imagen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4950" y="1381125"/>
          <a:ext cx="644690" cy="644690"/>
        </a:xfrm>
        <a:prstGeom prst="rect">
          <a:avLst/>
        </a:prstGeom>
      </xdr:spPr>
    </xdr:pic>
    <xdr:clientData/>
  </xdr:twoCellAnchor>
  <xdr:twoCellAnchor>
    <xdr:from>
      <xdr:col>0</xdr:col>
      <xdr:colOff>66676</xdr:colOff>
      <xdr:row>13</xdr:row>
      <xdr:rowOff>47625</xdr:rowOff>
    </xdr:from>
    <xdr:to>
      <xdr:col>0</xdr:col>
      <xdr:colOff>276226</xdr:colOff>
      <xdr:row>14</xdr:row>
      <xdr:rowOff>9525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66676" y="2609850"/>
          <a:ext cx="209550" cy="1619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14</xdr:col>
      <xdr:colOff>533400</xdr:colOff>
      <xdr:row>2</xdr:row>
      <xdr:rowOff>28574</xdr:rowOff>
    </xdr:from>
    <xdr:to>
      <xdr:col>15</xdr:col>
      <xdr:colOff>380389</xdr:colOff>
      <xdr:row>5</xdr:row>
      <xdr:rowOff>151788</xdr:rowOff>
    </xdr:to>
    <xdr:pic macro="[0]!Macro1">
      <xdr:nvPicPr>
        <xdr:cNvPr id="9" name="Imagen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34800" y="428624"/>
          <a:ext cx="685189" cy="685189"/>
        </a:xfrm>
        <a:prstGeom prst="rect">
          <a:avLst/>
        </a:prstGeom>
      </xdr:spPr>
    </xdr:pic>
    <xdr:clientData/>
  </xdr:twoCellAnchor>
  <xdr:twoCellAnchor editAs="oneCell">
    <xdr:from>
      <xdr:col>13</xdr:col>
      <xdr:colOff>85725</xdr:colOff>
      <xdr:row>1</xdr:row>
      <xdr:rowOff>123823</xdr:rowOff>
    </xdr:from>
    <xdr:to>
      <xdr:col>14</xdr:col>
      <xdr:colOff>304801</xdr:colOff>
      <xdr:row>7</xdr:row>
      <xdr:rowOff>19049</xdr:rowOff>
    </xdr:to>
    <xdr:pic macro="[0]!ExportarDashboardComoPDF">
      <xdr:nvPicPr>
        <xdr:cNvPr id="11" name="Imagen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48925" y="323848"/>
          <a:ext cx="1057276" cy="1057276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5784.739711689814" backgroundQuery="1" createdVersion="7" refreshedVersion="7" minRefreshableVersion="3" recordCount="0" supportSubquery="1" supportAdvancedDrill="1" xr:uid="{6B069C13-2862-4076-ACA4-BB00E5072F07}">
  <cacheSource type="external" connectionId="8"/>
  <cacheFields count="2">
    <cacheField name="[sucursales].[Nombre Sucursal].[Nombre Sucursal]" caption="Nombre Sucursal" numFmtId="0" hierarchy="16" level="1">
      <sharedItems count="3">
        <s v="Centro"/>
        <s v="Norte"/>
        <s v="Sur"/>
      </sharedItems>
    </cacheField>
    <cacheField name="[Measures].[Suma de Cantidad]" caption="Suma de Cantidad" numFmtId="0" hierarchy="36" level="32767"/>
  </cacheFields>
  <cacheHierarchies count="39">
    <cacheHierarchy uniqueName="[calendario].[Fecha]" caption="Fecha" attribute="1" time="1" defaultMemberUniqueName="[calendario].[Fecha].[All]" allUniqueName="[calendario].[Fecha].[All]" dimensionUniqueName="[calendario]" displayFolder="" count="2" memberValueDatatype="7" unbalanced="0"/>
    <cacheHierarchy uniqueName="[calendario].[Año]" caption="Año" attribute="1" defaultMemberUniqueName="[calendario].[Año].[All]" allUniqueName="[calendario].[Año].[All]" dimensionUniqueName="[calendario]" displayFolder="" count="2" memberValueDatatype="20" unbalanced="0"/>
    <cacheHierarchy uniqueName="[calendario].[Mes]" caption="Mes" attribute="1" defaultMemberUniqueName="[calendario].[Mes].[All]" allUniqueName="[calendario].[Mes].[All]" dimensionUniqueName="[calendario]" displayFolder="" count="2" memberValueDatatype="130" unbalanced="0"/>
    <cacheHierarchy uniqueName="[calendario].[Mes Español]" caption="Mes Español" attribute="1" defaultMemberUniqueName="[calendario].[Mes Español].[All]" allUniqueName="[calendario].[Mes Español].[All]" dimensionUniqueName="[calendario]" displayFolder="" count="2" memberValueDatatype="130" unbalanced="0"/>
    <cacheHierarchy uniqueName="[calendario].[Trimestre]" caption="Trimestre" attribute="1" defaultMemberUniqueName="[calendario].[Trimestre].[All]" allUniqueName="[calendario].[Trimestre].[All]" dimensionUniqueName="[calendario]" displayFolder="" count="2" memberValueDatatype="20" unbalanced="0"/>
    <cacheHierarchy uniqueName="[calendario].[Día Semana]" caption="Día Semana" attribute="1" defaultMemberUniqueName="[calendario].[Día Semana].[All]" allUniqueName="[calendario].[Día Semana].[All]" dimensionUniqueName="[calendario]" displayFolder="" count="2" memberValueDatatype="130" unbalanced="0"/>
    <cacheHierarchy uniqueName="[calendario].[Fecha (mes)]" caption="Fecha (mes)" attribute="1" defaultMemberUniqueName="[calendario].[Fecha (mes)].[All]" allUniqueName="[calendario].[Fecha (mes)].[All]" dimensionUniqueName="[calendario]" displayFolder="" count="2" memberValueDatatype="130" unbalanced="0"/>
    <cacheHierarchy uniqueName="[clientes].[ID Cliente]" caption="ID Cliente" attribute="1" defaultMemberUniqueName="[clientes].[ID Cliente].[All]" allUniqueName="[clientes].[ID Cliente].[All]" dimensionUniqueName="[clientes]" displayFolder="" count="2" memberValueDatatype="130" unbalanced="0"/>
    <cacheHierarchy uniqueName="[clientes].[Nombre Cliente]" caption="Nombre Cliente" attribute="1" defaultMemberUniqueName="[clientes].[Nombre Cliente].[All]" allUniqueName="[clientes].[Nombre Cliente].[All]" dimensionUniqueName="[clientes]" displayFolder="" count="2" memberValueDatatype="130" unbalanced="0"/>
    <cacheHierarchy uniqueName="[clientes].[Ciudad]" caption="Ciudad" attribute="1" defaultMemberUniqueName="[clientes].[Ciudad].[All]" allUniqueName="[clientes].[Ciudad].[All]" dimensionUniqueName="[clientes]" displayFolder="" count="2" memberValueDatatype="130" unbalanced="0"/>
    <cacheHierarchy uniqueName="[clientes].[Género]" caption="Género" attribute="1" defaultMemberUniqueName="[clientes].[Género].[All]" allUniqueName="[clientes].[Género].[All]" dimensionUniqueName="[clientes]" displayFolder="" count="2" memberValueDatatype="130" unbalanced="0"/>
    <cacheHierarchy uniqueName="[productos].[ID Producto]" caption="ID Producto" attribute="1" defaultMemberUniqueName="[productos].[ID Producto].[All]" allUniqueName="[productos].[ID Producto].[All]" dimensionUniqueName="[productos]" displayFolder="" count="2" memberValueDatatype="130" unbalanced="0"/>
    <cacheHierarchy uniqueName="[productos].[Nombre Producto]" caption="Nombre Producto" attribute="1" defaultMemberUniqueName="[productos].[Nombre Producto].[All]" allUniqueName="[productos].[Nombre Producto].[All]" dimensionUniqueName="[productos]" displayFolder="" count="2" memberValueDatatype="130" unbalanced="0"/>
    <cacheHierarchy uniqueName="[productos].[Categoría]" caption="Categoría" attribute="1" defaultMemberUniqueName="[productos].[Categoría].[All]" allUniqueName="[productos].[Categoría].[All]" dimensionUniqueName="[productos]" displayFolder="" count="2" memberValueDatatype="130" unbalanced="0"/>
    <cacheHierarchy uniqueName="[productos].[Precio Unitario]" caption="Precio Unitario" attribute="1" defaultMemberUniqueName="[productos].[Precio Unitario].[All]" allUniqueName="[productos].[Precio Unitario].[All]" dimensionUniqueName="[productos]" displayFolder="" count="2" memberValueDatatype="20" unbalanced="0"/>
    <cacheHierarchy uniqueName="[sucursales].[ID Sucursal]" caption="ID Sucursal" attribute="1" defaultMemberUniqueName="[sucursales].[ID Sucursal].[All]" allUniqueName="[sucursales].[ID Sucursal].[All]" dimensionUniqueName="[sucursales]" displayFolder="" count="2" memberValueDatatype="130" unbalanced="0"/>
    <cacheHierarchy uniqueName="[sucursales].[Nombre Sucursal]" caption="Nombre Sucursal" attribute="1" defaultMemberUniqueName="[sucursales].[Nombre Sucursal].[All]" allUniqueName="[sucursales].[Nombre Sucursal].[All]" dimensionUniqueName="[sucursales]" displayFolder="" count="2" memberValueDatatype="130" unbalanced="0">
      <fieldsUsage count="2">
        <fieldUsage x="-1"/>
        <fieldUsage x="0"/>
      </fieldsUsage>
    </cacheHierarchy>
    <cacheHierarchy uniqueName="[sucursales].[Ciudad]" caption="Ciudad" attribute="1" defaultMemberUniqueName="[sucursales].[Ciudad].[All]" allUniqueName="[sucursales].[Ciudad].[All]" dimensionUniqueName="[sucursales]" displayFolder="" count="2" memberValueDatatype="130" unbalanced="0"/>
    <cacheHierarchy uniqueName="[ventas].[ID Venta]" caption="ID Venta" attribute="1" defaultMemberUniqueName="[ventas].[ID Venta].[All]" allUniqueName="[ventas].[ID Venta].[All]" dimensionUniqueName="[ventas]" displayFolder="" count="2" memberValueDatatype="130" unbalanced="0"/>
    <cacheHierarchy uniqueName="[ventas].[Fecha]" caption="Fecha" attribute="1" time="1" defaultMemberUniqueName="[ventas].[Fecha].[All]" allUniqueName="[ventas].[Fecha].[All]" dimensionUniqueName="[ventas]" displayFolder="" count="2" memberValueDatatype="7" unbalanced="0"/>
    <cacheHierarchy uniqueName="[ventas].[ID Cliente]" caption="ID Cliente" attribute="1" defaultMemberUniqueName="[ventas].[ID Cliente].[All]" allUniqueName="[ventas].[ID Cliente].[All]" dimensionUniqueName="[ventas]" displayFolder="" count="2" memberValueDatatype="130" unbalanced="0"/>
    <cacheHierarchy uniqueName="[ventas].[ID Producto]" caption="ID Producto" attribute="1" defaultMemberUniqueName="[ventas].[ID Producto].[All]" allUniqueName="[ventas].[ID Producto].[All]" dimensionUniqueName="[ventas]" displayFolder="" count="2" memberValueDatatype="130" unbalanced="0"/>
    <cacheHierarchy uniqueName="[ventas].[Nombre Producto]" caption="Nombre Producto" attribute="1" defaultMemberUniqueName="[ventas].[Nombre Producto].[All]" allUniqueName="[ventas].[Nombre Producto].[All]" dimensionUniqueName="[ventas]" displayFolder="" count="2" memberValueDatatype="130" unbalanced="0"/>
    <cacheHierarchy uniqueName="[ventas].[Medio de Pago]" caption="Medio de Pago" attribute="1" defaultMemberUniqueName="[ventas].[Medio de Pago].[All]" allUniqueName="[ventas].[Medio de Pago].[All]" dimensionUniqueName="[ventas]" displayFolder="" count="2" memberValueDatatype="130" unbalanced="0"/>
    <cacheHierarchy uniqueName="[ventas].[ID Sucursal]" caption="ID Sucursal" attribute="1" defaultMemberUniqueName="[ventas].[ID Sucursal].[All]" allUniqueName="[ventas].[ID Sucursal].[All]" dimensionUniqueName="[ventas]" displayFolder="" count="2" memberValueDatatype="130" unbalanced="0"/>
    <cacheHierarchy uniqueName="[ventas].[Cantidad]" caption="Cantidad" attribute="1" defaultMemberUniqueName="[ventas].[Cantidad].[All]" allUniqueName="[ventas].[Cantidad].[All]" dimensionUniqueName="[ventas]" displayFolder="" count="2" memberValueDatatype="20" unbalanced="0"/>
    <cacheHierarchy uniqueName="[ventas].[Precio Unitario]" caption="Precio Unitario" attribute="1" defaultMemberUniqueName="[ventas].[Precio Unitario].[All]" allUniqueName="[ventas].[Precio Unitario].[All]" dimensionUniqueName="[ventas]" displayFolder="" count="2" memberValueDatatype="20" unbalanced="0"/>
    <cacheHierarchy uniqueName="[ventas].[Total Venta]" caption="Total Venta" attribute="1" defaultMemberUniqueName="[ventas].[Total Venta].[All]" allUniqueName="[ventas].[Total Venta].[All]" dimensionUniqueName="[ventas]" displayFolder="" count="2" memberValueDatatype="20" unbalanced="0"/>
    <cacheHierarchy uniqueName="[calendario].[Fecha (índice de meses)]" caption="Fecha (índice de meses)" attribute="1" defaultMemberUniqueName="[calendario].[Fecha (índice de meses)].[All]" allUniqueName="[calendario].[Fecha (índice de meses)].[All]" dimensionUniqueName="[calendario]" displayFolder="" count="2" memberValueDatatype="20" unbalanced="0" hidden="1"/>
    <cacheHierarchy uniqueName="[Measures].[__XL_Count calendario]" caption="__XL_Count calendario" measure="1" displayFolder="" measureGroup="calendario" count="0" hidden="1"/>
    <cacheHierarchy uniqueName="[Measures].[__XL_Count ventas]" caption="__XL_Count ventas" measure="1" displayFolder="" measureGroup="ventas" count="0" hidden="1"/>
    <cacheHierarchy uniqueName="[Measures].[__XL_Count sucursales]" caption="__XL_Count sucursales" measure="1" displayFolder="" measureGroup="sucursales" count="0" hidden="1"/>
    <cacheHierarchy uniqueName="[Measures].[__XL_Count productos]" caption="__XL_Count productos" measure="1" displayFolder="" measureGroup="productos" count="0" hidden="1"/>
    <cacheHierarchy uniqueName="[Measures].[__XL_Count clientes]" caption="__XL_Count clientes" measure="1" displayFolder="" measureGroup="clientes" count="0" hidden="1"/>
    <cacheHierarchy uniqueName="[Measures].[__No hay medidas definidas]" caption="__No hay medidas definidas" measure="1" displayFolder="" count="0" hidden="1"/>
    <cacheHierarchy uniqueName="[Measures].[Suma de Total Venta]" caption="Suma de Total Venta" measure="1" displayFolder="" measureGroup="venta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a de Cantidad]" caption="Suma de Cantidad" measure="1" displayFolder="" measureGroup="vent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Recuento de Fecha (mes)]" caption="Recuento de Fecha (mes)" measure="1" displayFolder="" measureGroup="calendario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Mes Español]" caption="Recuento de Mes Español" measure="1" displayFolder="" measureGroup="calendari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6">
    <dimension name="calendario" uniqueName="[calendario]" caption="calendario"/>
    <dimension name="clientes" uniqueName="[clientes]" caption="clientes"/>
    <dimension measure="1" name="Measures" uniqueName="[Measures]" caption="Measures"/>
    <dimension name="productos" uniqueName="[productos]" caption="productos"/>
    <dimension name="sucursales" uniqueName="[sucursales]" caption="sucursales"/>
    <dimension name="ventas" uniqueName="[ventas]" caption="ventas"/>
  </dimensions>
  <measureGroups count="5">
    <measureGroup name="calendario" caption="calendario"/>
    <measureGroup name="clientes" caption="clientes"/>
    <measureGroup name="productos" caption="productos"/>
    <measureGroup name="sucursales" caption="sucursales"/>
    <measureGroup name="ventas" caption="ventas"/>
  </measureGroups>
  <maps count="9">
    <map measureGroup="0" dimension="0"/>
    <map measureGroup="1" dimension="1"/>
    <map measureGroup="2" dimension="3"/>
    <map measureGroup="3" dimension="4"/>
    <map measureGroup="4" dimension="0"/>
    <map measureGroup="4" dimension="1"/>
    <map measureGroup="4" dimension="3"/>
    <map measureGroup="4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5784.740103240743" backgroundQuery="1" createdVersion="7" refreshedVersion="7" minRefreshableVersion="3" recordCount="0" supportSubquery="1" supportAdvancedDrill="1" xr:uid="{4EDA8192-2404-4A05-9A9D-05478A4D94CF}">
  <cacheSource type="external" connectionId="8"/>
  <cacheFields count="4">
    <cacheField name="[ventas].[Medio de Pago].[Medio de Pago]" caption="Medio de Pago" numFmtId="0" hierarchy="23" level="1">
      <sharedItems count="3">
        <s v="Efectivo"/>
        <s v="Tarjeta"/>
        <s v="Transferencia"/>
      </sharedItems>
    </cacheField>
    <cacheField name="[Measures].[Suma de Cantidad]" caption="Suma de Cantidad" numFmtId="0" hierarchy="36" level="32767"/>
    <cacheField name="[productos].[Categoría].[Categoría]" caption="Categoría" numFmtId="0" hierarchy="13" level="1">
      <sharedItems containsSemiMixedTypes="0" containsNonDate="0" containsString="0"/>
    </cacheField>
    <cacheField name="[calendario].[Trimestre].[Trimestre]" caption="Trimestre" numFmtId="0" hierarchy="4" level="1">
      <sharedItems containsSemiMixedTypes="0" containsNonDate="0" containsString="0"/>
    </cacheField>
  </cacheFields>
  <cacheHierarchies count="39">
    <cacheHierarchy uniqueName="[calendario].[Fecha]" caption="Fecha" attribute="1" time="1" defaultMemberUniqueName="[calendario].[Fecha].[All]" allUniqueName="[calendario].[Fecha].[All]" dimensionUniqueName="[calendario]" displayFolder="" count="0" memberValueDatatype="7" unbalanced="0"/>
    <cacheHierarchy uniqueName="[calendario].[Año]" caption="Año" attribute="1" defaultMemberUniqueName="[calendario].[Año].[All]" allUniqueName="[calendario].[Año].[All]" dimensionUniqueName="[calendario]" displayFolder="" count="0" memberValueDatatype="20" unbalanced="0"/>
    <cacheHierarchy uniqueName="[calendario].[Mes]" caption="Mes" attribute="1" defaultMemberUniqueName="[calendario].[Mes].[All]" allUniqueName="[calendario].[Mes].[All]" dimensionUniqueName="[calendario]" displayFolder="" count="0" memberValueDatatype="130" unbalanced="0"/>
    <cacheHierarchy uniqueName="[calendario].[Mes Español]" caption="Mes Español" attribute="1" defaultMemberUniqueName="[calendario].[Mes Español].[All]" allUniqueName="[calendario].[Mes Español].[All]" dimensionUniqueName="[calendario]" displayFolder="" count="0" memberValueDatatype="130" unbalanced="0"/>
    <cacheHierarchy uniqueName="[calendario].[Trimestre]" caption="Trimestre" attribute="1" defaultMemberUniqueName="[calendario].[Trimestre].[All]" allUniqueName="[calendario].[Trimestre].[All]" dimensionUniqueName="[calendario]" displayFolder="" count="2" memberValueDatatype="20" unbalanced="0">
      <fieldsUsage count="2">
        <fieldUsage x="-1"/>
        <fieldUsage x="3"/>
      </fieldsUsage>
    </cacheHierarchy>
    <cacheHierarchy uniqueName="[calendario].[Día Semana]" caption="Día Semana" attribute="1" defaultMemberUniqueName="[calendario].[Día Semana].[All]" allUniqueName="[calendario].[Día Semana].[All]" dimensionUniqueName="[calendario]" displayFolder="" count="0" memberValueDatatype="130" unbalanced="0"/>
    <cacheHierarchy uniqueName="[calendario].[Fecha (mes)]" caption="Fecha (mes)" attribute="1" defaultMemberUniqueName="[calendario].[Fecha (mes)].[All]" allUniqueName="[calendario].[Fecha (mes)].[All]" dimensionUniqueName="[calendario]" displayFolder="" count="0" memberValueDatatype="130" unbalanced="0"/>
    <cacheHierarchy uniqueName="[clientes].[ID Cliente]" caption="ID Cliente" attribute="1" defaultMemberUniqueName="[clientes].[ID Cliente].[All]" allUniqueName="[clientes].[ID Cliente].[All]" dimensionUniqueName="[clientes]" displayFolder="" count="0" memberValueDatatype="130" unbalanced="0"/>
    <cacheHierarchy uniqueName="[clientes].[Nombre Cliente]" caption="Nombre Cliente" attribute="1" defaultMemberUniqueName="[clientes].[Nombre Cliente].[All]" allUniqueName="[clientes].[Nombre Cliente].[All]" dimensionUniqueName="[clientes]" displayFolder="" count="0" memberValueDatatype="130" unbalanced="0"/>
    <cacheHierarchy uniqueName="[clientes].[Ciudad]" caption="Ciudad" attribute="1" defaultMemberUniqueName="[clientes].[Ciudad].[All]" allUniqueName="[clientes].[Ciudad].[All]" dimensionUniqueName="[clientes]" displayFolder="" count="0" memberValueDatatype="130" unbalanced="0"/>
    <cacheHierarchy uniqueName="[clientes].[Género]" caption="Género" attribute="1" defaultMemberUniqueName="[clientes].[Género].[All]" allUniqueName="[clientes].[Género].[All]" dimensionUniqueName="[clientes]" displayFolder="" count="0" memberValueDatatype="130" unbalanced="0"/>
    <cacheHierarchy uniqueName="[productos].[ID Producto]" caption="ID Producto" attribute="1" defaultMemberUniqueName="[productos].[ID Producto].[All]" allUniqueName="[productos].[ID Producto].[All]" dimensionUniqueName="[productos]" displayFolder="" count="0" memberValueDatatype="130" unbalanced="0"/>
    <cacheHierarchy uniqueName="[productos].[Nombre Producto]" caption="Nombre Producto" attribute="1" defaultMemberUniqueName="[productos].[Nombre Producto].[All]" allUniqueName="[productos].[Nombre Producto].[All]" dimensionUniqueName="[productos]" displayFolder="" count="0" memberValueDatatype="130" unbalanced="0"/>
    <cacheHierarchy uniqueName="[productos].[Categoría]" caption="Categoría" attribute="1" defaultMemberUniqueName="[productos].[Categoría].[All]" allUniqueName="[productos].[Categoría].[All]" dimensionUniqueName="[productos]" displayFolder="" count="2" memberValueDatatype="130" unbalanced="0">
      <fieldsUsage count="2">
        <fieldUsage x="-1"/>
        <fieldUsage x="2"/>
      </fieldsUsage>
    </cacheHierarchy>
    <cacheHierarchy uniqueName="[productos].[Precio Unitario]" caption="Precio Unitario" attribute="1" defaultMemberUniqueName="[productos].[Precio Unitario].[All]" allUniqueName="[productos].[Precio Unitario].[All]" dimensionUniqueName="[productos]" displayFolder="" count="0" memberValueDatatype="20" unbalanced="0"/>
    <cacheHierarchy uniqueName="[sucursales].[ID Sucursal]" caption="ID Sucursal" attribute="1" defaultMemberUniqueName="[sucursales].[ID Sucursal].[All]" allUniqueName="[sucursales].[ID Sucursal].[All]" dimensionUniqueName="[sucursales]" displayFolder="" count="0" memberValueDatatype="130" unbalanced="0"/>
    <cacheHierarchy uniqueName="[sucursales].[Nombre Sucursal]" caption="Nombre Sucursal" attribute="1" defaultMemberUniqueName="[sucursales].[Nombre Sucursal].[All]" allUniqueName="[sucursales].[Nombre Sucursal].[All]" dimensionUniqueName="[sucursales]" displayFolder="" count="2" memberValueDatatype="130" unbalanced="0"/>
    <cacheHierarchy uniqueName="[sucursales].[Ciudad]" caption="Ciudad" attribute="1" defaultMemberUniqueName="[sucursales].[Ciudad].[All]" allUniqueName="[sucursales].[Ciudad].[All]" dimensionUniqueName="[sucursales]" displayFolder="" count="0" memberValueDatatype="130" unbalanced="0"/>
    <cacheHierarchy uniqueName="[ventas].[ID Venta]" caption="ID Venta" attribute="1" defaultMemberUniqueName="[ventas].[ID Venta].[All]" allUniqueName="[ventas].[ID Venta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ID Cliente]" caption="ID Cliente" attribute="1" defaultMemberUniqueName="[ventas].[ID Cliente].[All]" allUniqueName="[ventas].[ID Cliente].[All]" dimensionUniqueName="[ventas]" displayFolder="" count="0" memberValueDatatype="130" unbalanced="0"/>
    <cacheHierarchy uniqueName="[ventas].[ID Producto]" caption="ID Producto" attribute="1" defaultMemberUniqueName="[ventas].[ID Producto].[All]" allUniqueName="[ventas].[ID Producto].[All]" dimensionUniqueName="[ventas]" displayFolder="" count="0" memberValueDatatype="130" unbalanced="0"/>
    <cacheHierarchy uniqueName="[ventas].[Nombre Producto]" caption="Nombre Producto" attribute="1" defaultMemberUniqueName="[ventas].[Nombre Producto].[All]" allUniqueName="[ventas].[Nombre Producto].[All]" dimensionUniqueName="[ventas]" displayFolder="" count="0" memberValueDatatype="130" unbalanced="0"/>
    <cacheHierarchy uniqueName="[ventas].[Medio de Pago]" caption="Medio de Pago" attribute="1" defaultMemberUniqueName="[ventas].[Medio de Pago].[All]" allUniqueName="[ventas].[Medio de Pago].[All]" dimensionUniqueName="[ventas]" displayFolder="" count="2" memberValueDatatype="130" unbalanced="0">
      <fieldsUsage count="2">
        <fieldUsage x="-1"/>
        <fieldUsage x="0"/>
      </fieldsUsage>
    </cacheHierarchy>
    <cacheHierarchy uniqueName="[ventas].[ID Sucursal]" caption="ID Sucursal" attribute="1" defaultMemberUniqueName="[ventas].[ID Sucursal].[All]" allUniqueName="[ventas].[ID Sucursal].[All]" dimensionUniqueName="[ventas]" displayFolder="" count="0" memberValueDatatype="130" unbalanced="0"/>
    <cacheHierarchy uniqueName="[ventas].[Cantidad]" caption="Cantidad" attribute="1" defaultMemberUniqueName="[ventas].[Cantidad].[All]" allUniqueName="[ventas].[Cantidad].[All]" dimensionUniqueName="[ventas]" displayFolder="" count="0" memberValueDatatype="20" unbalanced="0"/>
    <cacheHierarchy uniqueName="[ventas].[Precio Unitario]" caption="Precio Unitario" attribute="1" defaultMemberUniqueName="[ventas].[Precio Unitario].[All]" allUniqueName="[ventas].[Precio Unitario].[All]" dimensionUniqueName="[ventas]" displayFolder="" count="0" memberValueDatatype="20" unbalanced="0"/>
    <cacheHierarchy uniqueName="[ventas].[Total Venta]" caption="Total Venta" attribute="1" defaultMemberUniqueName="[ventas].[Total Venta].[All]" allUniqueName="[ventas].[Total Venta].[All]" dimensionUniqueName="[ventas]" displayFolder="" count="0" memberValueDatatype="20" unbalanced="0"/>
    <cacheHierarchy uniqueName="[calendario].[Fecha (índice de meses)]" caption="Fecha (índice de meses)" attribute="1" defaultMemberUniqueName="[calendario].[Fecha (índice de meses)].[All]" allUniqueName="[calendario].[Fecha (índice de meses)].[All]" dimensionUniqueName="[calendario]" displayFolder="" count="0" memberValueDatatype="20" unbalanced="0" hidden="1"/>
    <cacheHierarchy uniqueName="[Measures].[__XL_Count calendario]" caption="__XL_Count calendario" measure="1" displayFolder="" measureGroup="calendario" count="0" hidden="1"/>
    <cacheHierarchy uniqueName="[Measures].[__XL_Count ventas]" caption="__XL_Count ventas" measure="1" displayFolder="" measureGroup="ventas" count="0" hidden="1"/>
    <cacheHierarchy uniqueName="[Measures].[__XL_Count sucursales]" caption="__XL_Count sucursales" measure="1" displayFolder="" measureGroup="sucursales" count="0" hidden="1"/>
    <cacheHierarchy uniqueName="[Measures].[__XL_Count productos]" caption="__XL_Count productos" measure="1" displayFolder="" measureGroup="productos" count="0" hidden="1"/>
    <cacheHierarchy uniqueName="[Measures].[__XL_Count clientes]" caption="__XL_Count clientes" measure="1" displayFolder="" measureGroup="clientes" count="0" hidden="1"/>
    <cacheHierarchy uniqueName="[Measures].[__No hay medidas definidas]" caption="__No hay medidas definidas" measure="1" displayFolder="" count="0" hidden="1"/>
    <cacheHierarchy uniqueName="[Measures].[Suma de Total Venta]" caption="Suma de Total Venta" measure="1" displayFolder="" measureGroup="venta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a de Cantidad]" caption="Suma de Cantidad" measure="1" displayFolder="" measureGroup="vent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Recuento de Fecha (mes)]" caption="Recuento de Fecha (mes)" measure="1" displayFolder="" measureGroup="calendario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Mes Español]" caption="Recuento de Mes Español" measure="1" displayFolder="" measureGroup="calendari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6">
    <dimension name="calendario" uniqueName="[calendario]" caption="calendario"/>
    <dimension name="clientes" uniqueName="[clientes]" caption="clientes"/>
    <dimension measure="1" name="Measures" uniqueName="[Measures]" caption="Measures"/>
    <dimension name="productos" uniqueName="[productos]" caption="productos"/>
    <dimension name="sucursales" uniqueName="[sucursales]" caption="sucursales"/>
    <dimension name="ventas" uniqueName="[ventas]" caption="ventas"/>
  </dimensions>
  <measureGroups count="5">
    <measureGroup name="calendario" caption="calendario"/>
    <measureGroup name="clientes" caption="clientes"/>
    <measureGroup name="productos" caption="productos"/>
    <measureGroup name="sucursales" caption="sucursales"/>
    <measureGroup name="ventas" caption="ventas"/>
  </measureGroups>
  <maps count="9">
    <map measureGroup="0" dimension="0"/>
    <map measureGroup="1" dimension="1"/>
    <map measureGroup="2" dimension="3"/>
    <map measureGroup="3" dimension="4"/>
    <map measureGroup="4" dimension="0"/>
    <map measureGroup="4" dimension="1"/>
    <map measureGroup="4" dimension="3"/>
    <map measureGroup="4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5789.84844386574" backgroundQuery="1" createdVersion="7" refreshedVersion="7" minRefreshableVersion="3" recordCount="0" supportSubquery="1" supportAdvancedDrill="1" xr:uid="{348315A7-EBD1-4902-BF6F-3A16DBCF0EE3}">
  <cacheSource type="external" connectionId="8"/>
  <cacheFields count="4">
    <cacheField name="[Measures].[Suma de Total Venta]" caption="Suma de Total Venta" numFmtId="0" hierarchy="35" level="32767"/>
    <cacheField name="[calendario].[Mes Español].[Mes Español]" caption="Mes Español" numFmtId="0" hierarchy="3" level="1">
      <sharedItems count="12">
        <s v="Abril"/>
        <s v="Agosto"/>
        <s v="Diciembre"/>
        <s v="Enero"/>
        <s v="Febrero"/>
        <s v="Julio"/>
        <s v="Junio"/>
        <s v="Marzo"/>
        <s v="Mayo"/>
        <s v="Noviembre"/>
        <s v="Octubre"/>
        <s v="Septiembre"/>
      </sharedItems>
    </cacheField>
    <cacheField name="[ventas].[Medio de Pago].[Medio de Pago]" caption="Medio de Pago" numFmtId="0" hierarchy="23" level="1">
      <sharedItems containsSemiMixedTypes="0" containsNonDate="0" containsString="0"/>
    </cacheField>
    <cacheField name="[calendario].[Trimestre].[Trimestre]" caption="Trimestre" numFmtId="0" hierarchy="4" level="1">
      <sharedItems containsSemiMixedTypes="0" containsNonDate="0" containsString="0"/>
    </cacheField>
  </cacheFields>
  <cacheHierarchies count="39">
    <cacheHierarchy uniqueName="[calendario].[Fecha]" caption="Fecha" attribute="1" time="1" defaultMemberUniqueName="[calendario].[Fecha].[All]" allUniqueName="[calendario].[Fecha].[All]" dimensionUniqueName="[calendario]" displayFolder="" count="0" memberValueDatatype="7" unbalanced="0"/>
    <cacheHierarchy uniqueName="[calendario].[Año]" caption="Año" attribute="1" defaultMemberUniqueName="[calendario].[Año].[All]" allUniqueName="[calendario].[Año].[All]" dimensionUniqueName="[calendario]" displayFolder="" count="0" memberValueDatatype="20" unbalanced="0"/>
    <cacheHierarchy uniqueName="[calendario].[Mes]" caption="Mes" attribute="1" defaultMemberUniqueName="[calendario].[Mes].[All]" allUniqueName="[calendario].[Mes].[All]" dimensionUniqueName="[calendario]" displayFolder="" count="0" memberValueDatatype="130" unbalanced="0"/>
    <cacheHierarchy uniqueName="[calendario].[Mes Español]" caption="Mes Español" attribute="1" defaultMemberUniqueName="[calendario].[Mes Español].[All]" allUniqueName="[calendario].[Mes Español].[All]" dimensionUniqueName="[calendario]" displayFolder="" count="2" memberValueDatatype="130" unbalanced="0">
      <fieldsUsage count="2">
        <fieldUsage x="-1"/>
        <fieldUsage x="1"/>
      </fieldsUsage>
    </cacheHierarchy>
    <cacheHierarchy uniqueName="[calendario].[Trimestre]" caption="Trimestre" attribute="1" defaultMemberUniqueName="[calendario].[Trimestre].[All]" allUniqueName="[calendario].[Trimestre].[All]" dimensionUniqueName="[calendario]" displayFolder="" count="2" memberValueDatatype="20" unbalanced="0">
      <fieldsUsage count="2">
        <fieldUsage x="-1"/>
        <fieldUsage x="3"/>
      </fieldsUsage>
    </cacheHierarchy>
    <cacheHierarchy uniqueName="[calendario].[Día Semana]" caption="Día Semana" attribute="1" defaultMemberUniqueName="[calendario].[Día Semana].[All]" allUniqueName="[calendario].[Día Semana].[All]" dimensionUniqueName="[calendario]" displayFolder="" count="0" memberValueDatatype="130" unbalanced="0"/>
    <cacheHierarchy uniqueName="[calendario].[Fecha (mes)]" caption="Fecha (mes)" attribute="1" defaultMemberUniqueName="[calendario].[Fecha (mes)].[All]" allUniqueName="[calendario].[Fecha (mes)].[All]" dimensionUniqueName="[calendario]" displayFolder="" count="0" memberValueDatatype="130" unbalanced="0"/>
    <cacheHierarchy uniqueName="[clientes].[ID Cliente]" caption="ID Cliente" attribute="1" defaultMemberUniqueName="[clientes].[ID Cliente].[All]" allUniqueName="[clientes].[ID Cliente].[All]" dimensionUniqueName="[clientes]" displayFolder="" count="0" memberValueDatatype="130" unbalanced="0"/>
    <cacheHierarchy uniqueName="[clientes].[Nombre Cliente]" caption="Nombre Cliente" attribute="1" defaultMemberUniqueName="[clientes].[Nombre Cliente].[All]" allUniqueName="[clientes].[Nombre Cliente].[All]" dimensionUniqueName="[clientes]" displayFolder="" count="0" memberValueDatatype="130" unbalanced="0"/>
    <cacheHierarchy uniqueName="[clientes].[Ciudad]" caption="Ciudad" attribute="1" defaultMemberUniqueName="[clientes].[Ciudad].[All]" allUniqueName="[clientes].[Ciudad].[All]" dimensionUniqueName="[clientes]" displayFolder="" count="0" memberValueDatatype="130" unbalanced="0"/>
    <cacheHierarchy uniqueName="[clientes].[Género]" caption="Género" attribute="1" defaultMemberUniqueName="[clientes].[Género].[All]" allUniqueName="[clientes].[Género].[All]" dimensionUniqueName="[clientes]" displayFolder="" count="0" memberValueDatatype="130" unbalanced="0"/>
    <cacheHierarchy uniqueName="[productos].[ID Producto]" caption="ID Producto" attribute="1" defaultMemberUniqueName="[productos].[ID Producto].[All]" allUniqueName="[productos].[ID Producto].[All]" dimensionUniqueName="[productos]" displayFolder="" count="0" memberValueDatatype="130" unbalanced="0"/>
    <cacheHierarchy uniqueName="[productos].[Nombre Producto]" caption="Nombre Producto" attribute="1" defaultMemberUniqueName="[productos].[Nombre Producto].[All]" allUniqueName="[productos].[Nombre Producto].[All]" dimensionUniqueName="[productos]" displayFolder="" count="0" memberValueDatatype="130" unbalanced="0"/>
    <cacheHierarchy uniqueName="[productos].[Categoría]" caption="Categoría" attribute="1" defaultMemberUniqueName="[productos].[Categoría].[All]" allUniqueName="[productos].[Categoría].[All]" dimensionUniqueName="[productos]" displayFolder="" count="0" memberValueDatatype="130" unbalanced="0"/>
    <cacheHierarchy uniqueName="[productos].[Precio Unitario]" caption="Precio Unitario" attribute="1" defaultMemberUniqueName="[productos].[Precio Unitario].[All]" allUniqueName="[productos].[Precio Unitario].[All]" dimensionUniqueName="[productos]" displayFolder="" count="0" memberValueDatatype="20" unbalanced="0"/>
    <cacheHierarchy uniqueName="[sucursales].[ID Sucursal]" caption="ID Sucursal" attribute="1" defaultMemberUniqueName="[sucursales].[ID Sucursal].[All]" allUniqueName="[sucursales].[ID Sucursal].[All]" dimensionUniqueName="[sucursales]" displayFolder="" count="0" memberValueDatatype="130" unbalanced="0"/>
    <cacheHierarchy uniqueName="[sucursales].[Nombre Sucursal]" caption="Nombre Sucursal" attribute="1" defaultMemberUniqueName="[sucursales].[Nombre Sucursal].[All]" allUniqueName="[sucursales].[Nombre Sucursal].[All]" dimensionUniqueName="[sucursales]" displayFolder="" count="0" memberValueDatatype="130" unbalanced="0"/>
    <cacheHierarchy uniqueName="[sucursales].[Ciudad]" caption="Ciudad" attribute="1" defaultMemberUniqueName="[sucursales].[Ciudad].[All]" allUniqueName="[sucursales].[Ciudad].[All]" dimensionUniqueName="[sucursales]" displayFolder="" count="0" memberValueDatatype="130" unbalanced="0"/>
    <cacheHierarchy uniqueName="[ventas].[ID Venta]" caption="ID Venta" attribute="1" defaultMemberUniqueName="[ventas].[ID Venta].[All]" allUniqueName="[ventas].[ID Venta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ID Cliente]" caption="ID Cliente" attribute="1" defaultMemberUniqueName="[ventas].[ID Cliente].[All]" allUniqueName="[ventas].[ID Cliente].[All]" dimensionUniqueName="[ventas]" displayFolder="" count="0" memberValueDatatype="130" unbalanced="0"/>
    <cacheHierarchy uniqueName="[ventas].[ID Producto]" caption="ID Producto" attribute="1" defaultMemberUniqueName="[ventas].[ID Producto].[All]" allUniqueName="[ventas].[ID Producto].[All]" dimensionUniqueName="[ventas]" displayFolder="" count="0" memberValueDatatype="130" unbalanced="0"/>
    <cacheHierarchy uniqueName="[ventas].[Nombre Producto]" caption="Nombre Producto" attribute="1" defaultMemberUniqueName="[ventas].[Nombre Producto].[All]" allUniqueName="[ventas].[Nombre Producto].[All]" dimensionUniqueName="[ventas]" displayFolder="" count="0" memberValueDatatype="130" unbalanced="0"/>
    <cacheHierarchy uniqueName="[ventas].[Medio de Pago]" caption="Medio de Pago" attribute="1" defaultMemberUniqueName="[ventas].[Medio de Pago].[All]" allUniqueName="[ventas].[Medio de Pago].[All]" dimensionUniqueName="[ventas]" displayFolder="" count="2" memberValueDatatype="130" unbalanced="0">
      <fieldsUsage count="2">
        <fieldUsage x="-1"/>
        <fieldUsage x="2"/>
      </fieldsUsage>
    </cacheHierarchy>
    <cacheHierarchy uniqueName="[ventas].[ID Sucursal]" caption="ID Sucursal" attribute="1" defaultMemberUniqueName="[ventas].[ID Sucursal].[All]" allUniqueName="[ventas].[ID Sucursal].[All]" dimensionUniqueName="[ventas]" displayFolder="" count="0" memberValueDatatype="130" unbalanced="0"/>
    <cacheHierarchy uniqueName="[ventas].[Cantidad]" caption="Cantidad" attribute="1" defaultMemberUniqueName="[ventas].[Cantidad].[All]" allUniqueName="[ventas].[Cantidad].[All]" dimensionUniqueName="[ventas]" displayFolder="" count="0" memberValueDatatype="20" unbalanced="0"/>
    <cacheHierarchy uniqueName="[ventas].[Precio Unitario]" caption="Precio Unitario" attribute="1" defaultMemberUniqueName="[ventas].[Precio Unitario].[All]" allUniqueName="[ventas].[Precio Unitario].[All]" dimensionUniqueName="[ventas]" displayFolder="" count="0" memberValueDatatype="20" unbalanced="0"/>
    <cacheHierarchy uniqueName="[ventas].[Total Venta]" caption="Total Venta" attribute="1" defaultMemberUniqueName="[ventas].[Total Venta].[All]" allUniqueName="[ventas].[Total Venta].[All]" dimensionUniqueName="[ventas]" displayFolder="" count="0" memberValueDatatype="20" unbalanced="0"/>
    <cacheHierarchy uniqueName="[calendario].[Fecha (índice de meses)]" caption="Fecha (índice de meses)" attribute="1" defaultMemberUniqueName="[calendario].[Fecha (índice de meses)].[All]" allUniqueName="[calendario].[Fecha (índice de meses)].[All]" dimensionUniqueName="[calendario]" displayFolder="" count="0" memberValueDatatype="20" unbalanced="0" hidden="1"/>
    <cacheHierarchy uniqueName="[Measures].[__XL_Count calendario]" caption="__XL_Count calendario" measure="1" displayFolder="" measureGroup="calendario" count="0" hidden="1"/>
    <cacheHierarchy uniqueName="[Measures].[__XL_Count ventas]" caption="__XL_Count ventas" measure="1" displayFolder="" measureGroup="ventas" count="0" hidden="1"/>
    <cacheHierarchy uniqueName="[Measures].[__XL_Count sucursales]" caption="__XL_Count sucursales" measure="1" displayFolder="" measureGroup="sucursales" count="0" hidden="1"/>
    <cacheHierarchy uniqueName="[Measures].[__XL_Count productos]" caption="__XL_Count productos" measure="1" displayFolder="" measureGroup="productos" count="0" hidden="1"/>
    <cacheHierarchy uniqueName="[Measures].[__XL_Count clientes]" caption="__XL_Count clientes" measure="1" displayFolder="" measureGroup="clientes" count="0" hidden="1"/>
    <cacheHierarchy uniqueName="[Measures].[__No hay medidas definidas]" caption="__No hay medidas definidas" measure="1" displayFolder="" count="0" hidden="1"/>
    <cacheHierarchy uniqueName="[Measures].[Suma de Total Venta]" caption="Suma de Total Venta" measure="1" displayFolder="" measureGroup="venta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a de Cantidad]" caption="Suma de Cantidad" measure="1" displayFolder="" measureGroup="venta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Recuento de Fecha (mes)]" caption="Recuento de Fecha (mes)" measure="1" displayFolder="" measureGroup="calendario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Mes Español]" caption="Recuento de Mes Español" measure="1" displayFolder="" measureGroup="calendari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6">
    <dimension name="calendario" uniqueName="[calendario]" caption="calendario"/>
    <dimension name="clientes" uniqueName="[clientes]" caption="clientes"/>
    <dimension measure="1" name="Measures" uniqueName="[Measures]" caption="Measures"/>
    <dimension name="productos" uniqueName="[productos]" caption="productos"/>
    <dimension name="sucursales" uniqueName="[sucursales]" caption="sucursales"/>
    <dimension name="ventas" uniqueName="[ventas]" caption="ventas"/>
  </dimensions>
  <measureGroups count="5">
    <measureGroup name="calendario" caption="calendario"/>
    <measureGroup name="clientes" caption="clientes"/>
    <measureGroup name="productos" caption="productos"/>
    <measureGroup name="sucursales" caption="sucursales"/>
    <measureGroup name="ventas" caption="ventas"/>
  </measureGroups>
  <maps count="9">
    <map measureGroup="0" dimension="0"/>
    <map measureGroup="1" dimension="1"/>
    <map measureGroup="2" dimension="3"/>
    <map measureGroup="3" dimension="4"/>
    <map measureGroup="4" dimension="0"/>
    <map measureGroup="4" dimension="1"/>
    <map measureGroup="4" dimension="3"/>
    <map measureGroup="4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5789.848445833333" backgroundQuery="1" createdVersion="7" refreshedVersion="7" minRefreshableVersion="3" recordCount="0" supportSubquery="1" supportAdvancedDrill="1" xr:uid="{178AFDED-B359-44F1-A7A4-3A475C07BFE7}">
  <cacheSource type="external" connectionId="8"/>
  <cacheFields count="3">
    <cacheField name="[sucursales].[Nombre Sucursal].[Nombre Sucursal]" caption="Nombre Sucursal" numFmtId="0" hierarchy="16" level="1">
      <sharedItems count="3">
        <s v="Centro"/>
        <s v="Norte"/>
        <s v="Sur"/>
      </sharedItems>
    </cacheField>
    <cacheField name="[Measures].[Suma de Total Venta]" caption="Suma de Total Venta" numFmtId="0" hierarchy="35" level="32767"/>
    <cacheField name="[calendario].[Trimestre].[Trimestre]" caption="Trimestre" numFmtId="0" hierarchy="4" level="1">
      <sharedItems containsSemiMixedTypes="0" containsNonDate="0" containsString="0"/>
    </cacheField>
  </cacheFields>
  <cacheHierarchies count="39">
    <cacheHierarchy uniqueName="[calendario].[Fecha]" caption="Fecha" attribute="1" time="1" defaultMemberUniqueName="[calendario].[Fecha].[All]" allUniqueName="[calendario].[Fecha].[All]" dimensionUniqueName="[calendario]" displayFolder="" count="0" memberValueDatatype="7" unbalanced="0"/>
    <cacheHierarchy uniqueName="[calendario].[Año]" caption="Año" attribute="1" defaultMemberUniqueName="[calendario].[Año].[All]" allUniqueName="[calendario].[Año].[All]" dimensionUniqueName="[calendario]" displayFolder="" count="0" memberValueDatatype="20" unbalanced="0"/>
    <cacheHierarchy uniqueName="[calendario].[Mes]" caption="Mes" attribute="1" defaultMemberUniqueName="[calendario].[Mes].[All]" allUniqueName="[calendario].[Mes].[All]" dimensionUniqueName="[calendario]" displayFolder="" count="0" memberValueDatatype="130" unbalanced="0"/>
    <cacheHierarchy uniqueName="[calendario].[Mes Español]" caption="Mes Español" attribute="1" defaultMemberUniqueName="[calendario].[Mes Español].[All]" allUniqueName="[calendario].[Mes Español].[All]" dimensionUniqueName="[calendario]" displayFolder="" count="0" memberValueDatatype="130" unbalanced="0"/>
    <cacheHierarchy uniqueName="[calendario].[Trimestre]" caption="Trimestre" attribute="1" defaultMemberUniqueName="[calendario].[Trimestre].[All]" allUniqueName="[calendario].[Trimestre].[All]" dimensionUniqueName="[calendario]" displayFolder="" count="2" memberValueDatatype="20" unbalanced="0">
      <fieldsUsage count="2">
        <fieldUsage x="-1"/>
        <fieldUsage x="2"/>
      </fieldsUsage>
    </cacheHierarchy>
    <cacheHierarchy uniqueName="[calendario].[Día Semana]" caption="Día Semana" attribute="1" defaultMemberUniqueName="[calendario].[Día Semana].[All]" allUniqueName="[calendario].[Día Semana].[All]" dimensionUniqueName="[calendario]" displayFolder="" count="0" memberValueDatatype="130" unbalanced="0"/>
    <cacheHierarchy uniqueName="[calendario].[Fecha (mes)]" caption="Fecha (mes)" attribute="1" defaultMemberUniqueName="[calendario].[Fecha (mes)].[All]" allUniqueName="[calendario].[Fecha (mes)].[All]" dimensionUniqueName="[calendario]" displayFolder="" count="0" memberValueDatatype="130" unbalanced="0"/>
    <cacheHierarchy uniqueName="[clientes].[ID Cliente]" caption="ID Cliente" attribute="1" defaultMemberUniqueName="[clientes].[ID Cliente].[All]" allUniqueName="[clientes].[ID Cliente].[All]" dimensionUniqueName="[clientes]" displayFolder="" count="0" memberValueDatatype="130" unbalanced="0"/>
    <cacheHierarchy uniqueName="[clientes].[Nombre Cliente]" caption="Nombre Cliente" attribute="1" defaultMemberUniqueName="[clientes].[Nombre Cliente].[All]" allUniqueName="[clientes].[Nombre Cliente].[All]" dimensionUniqueName="[clientes]" displayFolder="" count="0" memberValueDatatype="130" unbalanced="0"/>
    <cacheHierarchy uniqueName="[clientes].[Ciudad]" caption="Ciudad" attribute="1" defaultMemberUniqueName="[clientes].[Ciudad].[All]" allUniqueName="[clientes].[Ciudad].[All]" dimensionUniqueName="[clientes]" displayFolder="" count="0" memberValueDatatype="130" unbalanced="0"/>
    <cacheHierarchy uniqueName="[clientes].[Género]" caption="Género" attribute="1" defaultMemberUniqueName="[clientes].[Género].[All]" allUniqueName="[clientes].[Género].[All]" dimensionUniqueName="[clientes]" displayFolder="" count="0" memberValueDatatype="130" unbalanced="0"/>
    <cacheHierarchy uniqueName="[productos].[ID Producto]" caption="ID Producto" attribute="1" defaultMemberUniqueName="[productos].[ID Producto].[All]" allUniqueName="[productos].[ID Producto].[All]" dimensionUniqueName="[productos]" displayFolder="" count="0" memberValueDatatype="130" unbalanced="0"/>
    <cacheHierarchy uniqueName="[productos].[Nombre Producto]" caption="Nombre Producto" attribute="1" defaultMemberUniqueName="[productos].[Nombre Producto].[All]" allUniqueName="[productos].[Nombre Producto].[All]" dimensionUniqueName="[productos]" displayFolder="" count="0" memberValueDatatype="130" unbalanced="0"/>
    <cacheHierarchy uniqueName="[productos].[Categoría]" caption="Categoría" attribute="1" defaultMemberUniqueName="[productos].[Categoría].[All]" allUniqueName="[productos].[Categoría].[All]" dimensionUniqueName="[productos]" displayFolder="" count="2" memberValueDatatype="130" unbalanced="0"/>
    <cacheHierarchy uniqueName="[productos].[Precio Unitario]" caption="Precio Unitario" attribute="1" defaultMemberUniqueName="[productos].[Precio Unitario].[All]" allUniqueName="[productos].[Precio Unitario].[All]" dimensionUniqueName="[productos]" displayFolder="" count="0" memberValueDatatype="20" unbalanced="0"/>
    <cacheHierarchy uniqueName="[sucursales].[ID Sucursal]" caption="ID Sucursal" attribute="1" defaultMemberUniqueName="[sucursales].[ID Sucursal].[All]" allUniqueName="[sucursales].[ID Sucursal].[All]" dimensionUniqueName="[sucursales]" displayFolder="" count="0" memberValueDatatype="130" unbalanced="0"/>
    <cacheHierarchy uniqueName="[sucursales].[Nombre Sucursal]" caption="Nombre Sucursal" attribute="1" defaultMemberUniqueName="[sucursales].[Nombre Sucursal].[All]" allUniqueName="[sucursales].[Nombre Sucursal].[All]" dimensionUniqueName="[sucursales]" displayFolder="" count="2" memberValueDatatype="130" unbalanced="0">
      <fieldsUsage count="2">
        <fieldUsage x="-1"/>
        <fieldUsage x="0"/>
      </fieldsUsage>
    </cacheHierarchy>
    <cacheHierarchy uniqueName="[sucursales].[Ciudad]" caption="Ciudad" attribute="1" defaultMemberUniqueName="[sucursales].[Ciudad].[All]" allUniqueName="[sucursales].[Ciudad].[All]" dimensionUniqueName="[sucursales]" displayFolder="" count="0" memberValueDatatype="130" unbalanced="0"/>
    <cacheHierarchy uniqueName="[ventas].[ID Venta]" caption="ID Venta" attribute="1" defaultMemberUniqueName="[ventas].[ID Venta].[All]" allUniqueName="[ventas].[ID Venta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ID Cliente]" caption="ID Cliente" attribute="1" defaultMemberUniqueName="[ventas].[ID Cliente].[All]" allUniqueName="[ventas].[ID Cliente].[All]" dimensionUniqueName="[ventas]" displayFolder="" count="0" memberValueDatatype="130" unbalanced="0"/>
    <cacheHierarchy uniqueName="[ventas].[ID Producto]" caption="ID Producto" attribute="1" defaultMemberUniqueName="[ventas].[ID Producto].[All]" allUniqueName="[ventas].[ID Producto].[All]" dimensionUniqueName="[ventas]" displayFolder="" count="0" memberValueDatatype="130" unbalanced="0"/>
    <cacheHierarchy uniqueName="[ventas].[Nombre Producto]" caption="Nombre Producto" attribute="1" defaultMemberUniqueName="[ventas].[Nombre Producto].[All]" allUniqueName="[ventas].[Nombre Producto].[All]" dimensionUniqueName="[ventas]" displayFolder="" count="0" memberValueDatatype="130" unbalanced="0"/>
    <cacheHierarchy uniqueName="[ventas].[Medio de Pago]" caption="Medio de Pago" attribute="1" defaultMemberUniqueName="[ventas].[Medio de Pago].[All]" allUniqueName="[ventas].[Medio de Pago].[All]" dimensionUniqueName="[ventas]" displayFolder="" count="0" memberValueDatatype="130" unbalanced="0"/>
    <cacheHierarchy uniqueName="[ventas].[ID Sucursal]" caption="ID Sucursal" attribute="1" defaultMemberUniqueName="[ventas].[ID Sucursal].[All]" allUniqueName="[ventas].[ID Sucursal].[All]" dimensionUniqueName="[ventas]" displayFolder="" count="0" memberValueDatatype="130" unbalanced="0"/>
    <cacheHierarchy uniqueName="[ventas].[Cantidad]" caption="Cantidad" attribute="1" defaultMemberUniqueName="[ventas].[Cantidad].[All]" allUniqueName="[ventas].[Cantidad].[All]" dimensionUniqueName="[ventas]" displayFolder="" count="0" memberValueDatatype="20" unbalanced="0"/>
    <cacheHierarchy uniqueName="[ventas].[Precio Unitario]" caption="Precio Unitario" attribute="1" defaultMemberUniqueName="[ventas].[Precio Unitario].[All]" allUniqueName="[ventas].[Precio Unitario].[All]" dimensionUniqueName="[ventas]" displayFolder="" count="0" memberValueDatatype="20" unbalanced="0"/>
    <cacheHierarchy uniqueName="[ventas].[Total Venta]" caption="Total Venta" attribute="1" defaultMemberUniqueName="[ventas].[Total Venta].[All]" allUniqueName="[ventas].[Total Venta].[All]" dimensionUniqueName="[ventas]" displayFolder="" count="0" memberValueDatatype="20" unbalanced="0"/>
    <cacheHierarchy uniqueName="[calendario].[Fecha (índice de meses)]" caption="Fecha (índice de meses)" attribute="1" defaultMemberUniqueName="[calendario].[Fecha (índice de meses)].[All]" allUniqueName="[calendario].[Fecha (índice de meses)].[All]" dimensionUniqueName="[calendario]" displayFolder="" count="0" memberValueDatatype="20" unbalanced="0" hidden="1"/>
    <cacheHierarchy uniqueName="[Measures].[__XL_Count calendario]" caption="__XL_Count calendario" measure="1" displayFolder="" measureGroup="calendario" count="0" hidden="1"/>
    <cacheHierarchy uniqueName="[Measures].[__XL_Count ventas]" caption="__XL_Count ventas" measure="1" displayFolder="" measureGroup="ventas" count="0" hidden="1"/>
    <cacheHierarchy uniqueName="[Measures].[__XL_Count sucursales]" caption="__XL_Count sucursales" measure="1" displayFolder="" measureGroup="sucursales" count="0" hidden="1"/>
    <cacheHierarchy uniqueName="[Measures].[__XL_Count productos]" caption="__XL_Count productos" measure="1" displayFolder="" measureGroup="productos" count="0" hidden="1"/>
    <cacheHierarchy uniqueName="[Measures].[__XL_Count clientes]" caption="__XL_Count clientes" measure="1" displayFolder="" measureGroup="clientes" count="0" hidden="1"/>
    <cacheHierarchy uniqueName="[Measures].[__No hay medidas definidas]" caption="__No hay medidas definidas" measure="1" displayFolder="" count="0" hidden="1"/>
    <cacheHierarchy uniqueName="[Measures].[Suma de Total Venta]" caption="Suma de Total Venta" measure="1" displayFolder="" measureGroup="vent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a de Cantidad]" caption="Suma de Cantidad" measure="1" displayFolder="" measureGroup="venta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Recuento de Fecha (mes)]" caption="Recuento de Fecha (mes)" measure="1" displayFolder="" measureGroup="calendario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Mes Español]" caption="Recuento de Mes Español" measure="1" displayFolder="" measureGroup="calendari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6">
    <dimension name="calendario" uniqueName="[calendario]" caption="calendario"/>
    <dimension name="clientes" uniqueName="[clientes]" caption="clientes"/>
    <dimension measure="1" name="Measures" uniqueName="[Measures]" caption="Measures"/>
    <dimension name="productos" uniqueName="[productos]" caption="productos"/>
    <dimension name="sucursales" uniqueName="[sucursales]" caption="sucursales"/>
    <dimension name="ventas" uniqueName="[ventas]" caption="ventas"/>
  </dimensions>
  <measureGroups count="5">
    <measureGroup name="calendario" caption="calendario"/>
    <measureGroup name="clientes" caption="clientes"/>
    <measureGroup name="productos" caption="productos"/>
    <measureGroup name="sucursales" caption="sucursales"/>
    <measureGroup name="ventas" caption="ventas"/>
  </measureGroups>
  <maps count="9">
    <map measureGroup="0" dimension="0"/>
    <map measureGroup="1" dimension="1"/>
    <map measureGroup="2" dimension="3"/>
    <map measureGroup="3" dimension="4"/>
    <map measureGroup="4" dimension="0"/>
    <map measureGroup="4" dimension="1"/>
    <map measureGroup="4" dimension="3"/>
    <map measureGroup="4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5789.848455555555" backgroundQuery="1" createdVersion="7" refreshedVersion="7" minRefreshableVersion="3" recordCount="0" supportSubquery="1" supportAdvancedDrill="1" xr:uid="{348C923B-5338-4DCC-809E-7B716C788965}">
  <cacheSource type="external" connectionId="8"/>
  <cacheFields count="3">
    <cacheField name="[clientes].[Género].[Género]" caption="Género" numFmtId="0" hierarchy="10" level="1">
      <sharedItems count="2">
        <s v="Femenino"/>
        <s v="Masculino"/>
      </sharedItems>
    </cacheField>
    <cacheField name="[Measures].[Suma de Cantidad]" caption="Suma de Cantidad" numFmtId="0" hierarchy="36" level="32767"/>
    <cacheField name="[sucursales].[Nombre Sucursal].[Nombre Sucursal]" caption="Nombre Sucursal" numFmtId="0" hierarchy="16" level="1">
      <sharedItems containsSemiMixedTypes="0" containsNonDate="0" containsString="0"/>
    </cacheField>
  </cacheFields>
  <cacheHierarchies count="39">
    <cacheHierarchy uniqueName="[calendario].[Fecha]" caption="Fecha" attribute="1" time="1" defaultMemberUniqueName="[calendario].[Fecha].[All]" allUniqueName="[calendario].[Fecha].[All]" dimensionUniqueName="[calendario]" displayFolder="" count="0" memberValueDatatype="7" unbalanced="0"/>
    <cacheHierarchy uniqueName="[calendario].[Año]" caption="Año" attribute="1" defaultMemberUniqueName="[calendario].[Año].[All]" allUniqueName="[calendario].[Año].[All]" dimensionUniqueName="[calendario]" displayFolder="" count="0" memberValueDatatype="20" unbalanced="0"/>
    <cacheHierarchy uniqueName="[calendario].[Mes]" caption="Mes" attribute="1" defaultMemberUniqueName="[calendario].[Mes].[All]" allUniqueName="[calendario].[Mes].[All]" dimensionUniqueName="[calendario]" displayFolder="" count="0" memberValueDatatype="130" unbalanced="0"/>
    <cacheHierarchy uniqueName="[calendario].[Mes Español]" caption="Mes Español" attribute="1" defaultMemberUniqueName="[calendario].[Mes Español].[All]" allUniqueName="[calendario].[Mes Español].[All]" dimensionUniqueName="[calendario]" displayFolder="" count="0" memberValueDatatype="130" unbalanced="0"/>
    <cacheHierarchy uniqueName="[calendario].[Trimestre]" caption="Trimestre" attribute="1" defaultMemberUniqueName="[calendario].[Trimestre].[All]" allUniqueName="[calendario].[Trimestre].[All]" dimensionUniqueName="[calendario]" displayFolder="" count="2" memberValueDatatype="20" unbalanced="0"/>
    <cacheHierarchy uniqueName="[calendario].[Día Semana]" caption="Día Semana" attribute="1" defaultMemberUniqueName="[calendario].[Día Semana].[All]" allUniqueName="[calendario].[Día Semana].[All]" dimensionUniqueName="[calendario]" displayFolder="" count="0" memberValueDatatype="130" unbalanced="0"/>
    <cacheHierarchy uniqueName="[calendario].[Fecha (mes)]" caption="Fecha (mes)" attribute="1" defaultMemberUniqueName="[calendario].[Fecha (mes)].[All]" allUniqueName="[calendario].[Fecha (mes)].[All]" dimensionUniqueName="[calendario]" displayFolder="" count="0" memberValueDatatype="130" unbalanced="0"/>
    <cacheHierarchy uniqueName="[clientes].[ID Cliente]" caption="ID Cliente" attribute="1" defaultMemberUniqueName="[clientes].[ID Cliente].[All]" allUniqueName="[clientes].[ID Cliente].[All]" dimensionUniqueName="[clientes]" displayFolder="" count="0" memberValueDatatype="130" unbalanced="0"/>
    <cacheHierarchy uniqueName="[clientes].[Nombre Cliente]" caption="Nombre Cliente" attribute="1" defaultMemberUniqueName="[clientes].[Nombre Cliente].[All]" allUniqueName="[clientes].[Nombre Cliente].[All]" dimensionUniqueName="[clientes]" displayFolder="" count="0" memberValueDatatype="130" unbalanced="0"/>
    <cacheHierarchy uniqueName="[clientes].[Ciudad]" caption="Ciudad" attribute="1" defaultMemberUniqueName="[clientes].[Ciudad].[All]" allUniqueName="[clientes].[Ciudad].[All]" dimensionUniqueName="[clientes]" displayFolder="" count="0" memberValueDatatype="130" unbalanced="0"/>
    <cacheHierarchy uniqueName="[clientes].[Género]" caption="Género" attribute="1" defaultMemberUniqueName="[clientes].[Género].[All]" allUniqueName="[clientes].[Género].[All]" dimensionUniqueName="[clientes]" displayFolder="" count="2" memberValueDatatype="130" unbalanced="0">
      <fieldsUsage count="2">
        <fieldUsage x="-1"/>
        <fieldUsage x="0"/>
      </fieldsUsage>
    </cacheHierarchy>
    <cacheHierarchy uniqueName="[productos].[ID Producto]" caption="ID Producto" attribute="1" defaultMemberUniqueName="[productos].[ID Producto].[All]" allUniqueName="[productos].[ID Producto].[All]" dimensionUniqueName="[productos]" displayFolder="" count="0" memberValueDatatype="130" unbalanced="0"/>
    <cacheHierarchy uniqueName="[productos].[Nombre Producto]" caption="Nombre Producto" attribute="1" defaultMemberUniqueName="[productos].[Nombre Producto].[All]" allUniqueName="[productos].[Nombre Producto].[All]" dimensionUniqueName="[productos]" displayFolder="" count="0" memberValueDatatype="130" unbalanced="0"/>
    <cacheHierarchy uniqueName="[productos].[Categoría]" caption="Categoría" attribute="1" defaultMemberUniqueName="[productos].[Categoría].[All]" allUniqueName="[productos].[Categoría].[All]" dimensionUniqueName="[productos]" displayFolder="" count="2" memberValueDatatype="130" unbalanced="0"/>
    <cacheHierarchy uniqueName="[productos].[Precio Unitario]" caption="Precio Unitario" attribute="1" defaultMemberUniqueName="[productos].[Precio Unitario].[All]" allUniqueName="[productos].[Precio Unitario].[All]" dimensionUniqueName="[productos]" displayFolder="" count="0" memberValueDatatype="20" unbalanced="0"/>
    <cacheHierarchy uniqueName="[sucursales].[ID Sucursal]" caption="ID Sucursal" attribute="1" defaultMemberUniqueName="[sucursales].[ID Sucursal].[All]" allUniqueName="[sucursales].[ID Sucursal].[All]" dimensionUniqueName="[sucursales]" displayFolder="" count="0" memberValueDatatype="130" unbalanced="0"/>
    <cacheHierarchy uniqueName="[sucursales].[Nombre Sucursal]" caption="Nombre Sucursal" attribute="1" defaultMemberUniqueName="[sucursales].[Nombre Sucursal].[All]" allUniqueName="[sucursales].[Nombre Sucursal].[All]" dimensionUniqueName="[sucursales]" displayFolder="" count="2" memberValueDatatype="130" unbalanced="0">
      <fieldsUsage count="2">
        <fieldUsage x="-1"/>
        <fieldUsage x="2"/>
      </fieldsUsage>
    </cacheHierarchy>
    <cacheHierarchy uniqueName="[sucursales].[Ciudad]" caption="Ciudad" attribute="1" defaultMemberUniqueName="[sucursales].[Ciudad].[All]" allUniqueName="[sucursales].[Ciudad].[All]" dimensionUniqueName="[sucursales]" displayFolder="" count="0" memberValueDatatype="130" unbalanced="0"/>
    <cacheHierarchy uniqueName="[ventas].[ID Venta]" caption="ID Venta" attribute="1" defaultMemberUniqueName="[ventas].[ID Venta].[All]" allUniqueName="[ventas].[ID Venta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ID Cliente]" caption="ID Cliente" attribute="1" defaultMemberUniqueName="[ventas].[ID Cliente].[All]" allUniqueName="[ventas].[ID Cliente].[All]" dimensionUniqueName="[ventas]" displayFolder="" count="0" memberValueDatatype="130" unbalanced="0"/>
    <cacheHierarchy uniqueName="[ventas].[ID Producto]" caption="ID Producto" attribute="1" defaultMemberUniqueName="[ventas].[ID Producto].[All]" allUniqueName="[ventas].[ID Producto].[All]" dimensionUniqueName="[ventas]" displayFolder="" count="0" memberValueDatatype="130" unbalanced="0"/>
    <cacheHierarchy uniqueName="[ventas].[Nombre Producto]" caption="Nombre Producto" attribute="1" defaultMemberUniqueName="[ventas].[Nombre Producto].[All]" allUniqueName="[ventas].[Nombre Producto].[All]" dimensionUniqueName="[ventas]" displayFolder="" count="0" memberValueDatatype="130" unbalanced="0"/>
    <cacheHierarchy uniqueName="[ventas].[Medio de Pago]" caption="Medio de Pago" attribute="1" defaultMemberUniqueName="[ventas].[Medio de Pago].[All]" allUniqueName="[ventas].[Medio de Pago].[All]" dimensionUniqueName="[ventas]" displayFolder="" count="0" memberValueDatatype="130" unbalanced="0"/>
    <cacheHierarchy uniqueName="[ventas].[ID Sucursal]" caption="ID Sucursal" attribute="1" defaultMemberUniqueName="[ventas].[ID Sucursal].[All]" allUniqueName="[ventas].[ID Sucursal].[All]" dimensionUniqueName="[ventas]" displayFolder="" count="0" memberValueDatatype="130" unbalanced="0"/>
    <cacheHierarchy uniqueName="[ventas].[Cantidad]" caption="Cantidad" attribute="1" defaultMemberUniqueName="[ventas].[Cantidad].[All]" allUniqueName="[ventas].[Cantidad].[All]" dimensionUniqueName="[ventas]" displayFolder="" count="0" memberValueDatatype="20" unbalanced="0"/>
    <cacheHierarchy uniqueName="[ventas].[Precio Unitario]" caption="Precio Unitario" attribute="1" defaultMemberUniqueName="[ventas].[Precio Unitario].[All]" allUniqueName="[ventas].[Precio Unitario].[All]" dimensionUniqueName="[ventas]" displayFolder="" count="0" memberValueDatatype="20" unbalanced="0"/>
    <cacheHierarchy uniqueName="[ventas].[Total Venta]" caption="Total Venta" attribute="1" defaultMemberUniqueName="[ventas].[Total Venta].[All]" allUniqueName="[ventas].[Total Venta].[All]" dimensionUniqueName="[ventas]" displayFolder="" count="0" memberValueDatatype="20" unbalanced="0"/>
    <cacheHierarchy uniqueName="[calendario].[Fecha (índice de meses)]" caption="Fecha (índice de meses)" attribute="1" defaultMemberUniqueName="[calendario].[Fecha (índice de meses)].[All]" allUniqueName="[calendario].[Fecha (índice de meses)].[All]" dimensionUniqueName="[calendario]" displayFolder="" count="0" memberValueDatatype="20" unbalanced="0" hidden="1"/>
    <cacheHierarchy uniqueName="[Measures].[__XL_Count calendario]" caption="__XL_Count calendario" measure="1" displayFolder="" measureGroup="calendario" count="0" hidden="1"/>
    <cacheHierarchy uniqueName="[Measures].[__XL_Count ventas]" caption="__XL_Count ventas" measure="1" displayFolder="" measureGroup="ventas" count="0" hidden="1"/>
    <cacheHierarchy uniqueName="[Measures].[__XL_Count sucursales]" caption="__XL_Count sucursales" measure="1" displayFolder="" measureGroup="sucursales" count="0" hidden="1"/>
    <cacheHierarchy uniqueName="[Measures].[__XL_Count productos]" caption="__XL_Count productos" measure="1" displayFolder="" measureGroup="productos" count="0" hidden="1"/>
    <cacheHierarchy uniqueName="[Measures].[__XL_Count clientes]" caption="__XL_Count clientes" measure="1" displayFolder="" measureGroup="clientes" count="0" hidden="1"/>
    <cacheHierarchy uniqueName="[Measures].[__No hay medidas definidas]" caption="__No hay medidas definidas" measure="1" displayFolder="" count="0" hidden="1"/>
    <cacheHierarchy uniqueName="[Measures].[Suma de Total Venta]" caption="Suma de Total Venta" measure="1" displayFolder="" measureGroup="venta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a de Cantidad]" caption="Suma de Cantidad" measure="1" displayFolder="" measureGroup="vent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Recuento de Fecha (mes)]" caption="Recuento de Fecha (mes)" measure="1" displayFolder="" measureGroup="calendario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Mes Español]" caption="Recuento de Mes Español" measure="1" displayFolder="" measureGroup="calendari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6">
    <dimension name="calendario" uniqueName="[calendario]" caption="calendario"/>
    <dimension name="clientes" uniqueName="[clientes]" caption="clientes"/>
    <dimension measure="1" name="Measures" uniqueName="[Measures]" caption="Measures"/>
    <dimension name="productos" uniqueName="[productos]" caption="productos"/>
    <dimension name="sucursales" uniqueName="[sucursales]" caption="sucursales"/>
    <dimension name="ventas" uniqueName="[ventas]" caption="ventas"/>
  </dimensions>
  <measureGroups count="5">
    <measureGroup name="calendario" caption="calendario"/>
    <measureGroup name="clientes" caption="clientes"/>
    <measureGroup name="productos" caption="productos"/>
    <measureGroup name="sucursales" caption="sucursales"/>
    <measureGroup name="ventas" caption="ventas"/>
  </measureGroups>
  <maps count="9">
    <map measureGroup="0" dimension="0"/>
    <map measureGroup="1" dimension="1"/>
    <map measureGroup="2" dimension="3"/>
    <map measureGroup="3" dimension="4"/>
    <map measureGroup="4" dimension="0"/>
    <map measureGroup="4" dimension="1"/>
    <map measureGroup="4" dimension="3"/>
    <map measureGroup="4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5789.848457291664" backgroundQuery="1" createdVersion="7" refreshedVersion="7" minRefreshableVersion="3" recordCount="0" supportSubquery="1" supportAdvancedDrill="1" xr:uid="{2F1920BB-9267-445B-8171-3BE774E3C64D}">
  <cacheSource type="external" connectionId="8"/>
  <cacheFields count="3">
    <cacheField name="[ventas].[Medio de Pago].[Medio de Pago]" caption="Medio de Pago" numFmtId="0" hierarchy="23" level="1">
      <sharedItems count="3">
        <s v="Efectivo"/>
        <s v="Tarjeta"/>
        <s v="Transferencia"/>
      </sharedItems>
    </cacheField>
    <cacheField name="[Measures].[Suma de Total Venta]" caption="Suma de Total Venta" numFmtId="0" hierarchy="35" level="32767"/>
    <cacheField name="[sucursales].[Nombre Sucursal].[Nombre Sucursal]" caption="Nombre Sucursal" numFmtId="0" hierarchy="16" level="1">
      <sharedItems containsSemiMixedTypes="0" containsNonDate="0" containsString="0"/>
    </cacheField>
  </cacheFields>
  <cacheHierarchies count="39">
    <cacheHierarchy uniqueName="[calendario].[Fecha]" caption="Fecha" attribute="1" time="1" defaultMemberUniqueName="[calendario].[Fecha].[All]" allUniqueName="[calendario].[Fecha].[All]" dimensionUniqueName="[calendario]" displayFolder="" count="0" memberValueDatatype="7" unbalanced="0"/>
    <cacheHierarchy uniqueName="[calendario].[Año]" caption="Año" attribute="1" defaultMemberUniqueName="[calendario].[Año].[All]" allUniqueName="[calendario].[Año].[All]" dimensionUniqueName="[calendario]" displayFolder="" count="0" memberValueDatatype="20" unbalanced="0"/>
    <cacheHierarchy uniqueName="[calendario].[Mes]" caption="Mes" attribute="1" defaultMemberUniqueName="[calendario].[Mes].[All]" allUniqueName="[calendario].[Mes].[All]" dimensionUniqueName="[calendario]" displayFolder="" count="0" memberValueDatatype="130" unbalanced="0"/>
    <cacheHierarchy uniqueName="[calendario].[Mes Español]" caption="Mes Español" attribute="1" defaultMemberUniqueName="[calendario].[Mes Español].[All]" allUniqueName="[calendario].[Mes Español].[All]" dimensionUniqueName="[calendario]" displayFolder="" count="0" memberValueDatatype="130" unbalanced="0"/>
    <cacheHierarchy uniqueName="[calendario].[Trimestre]" caption="Trimestre" attribute="1" defaultMemberUniqueName="[calendario].[Trimestre].[All]" allUniqueName="[calendario].[Trimestre].[All]" dimensionUniqueName="[calendario]" displayFolder="" count="2" memberValueDatatype="20" unbalanced="0"/>
    <cacheHierarchy uniqueName="[calendario].[Día Semana]" caption="Día Semana" attribute="1" defaultMemberUniqueName="[calendario].[Día Semana].[All]" allUniqueName="[calendario].[Día Semana].[All]" dimensionUniqueName="[calendario]" displayFolder="" count="0" memberValueDatatype="130" unbalanced="0"/>
    <cacheHierarchy uniqueName="[calendario].[Fecha (mes)]" caption="Fecha (mes)" attribute="1" defaultMemberUniqueName="[calendario].[Fecha (mes)].[All]" allUniqueName="[calendario].[Fecha (mes)].[All]" dimensionUniqueName="[calendario]" displayFolder="" count="0" memberValueDatatype="130" unbalanced="0"/>
    <cacheHierarchy uniqueName="[clientes].[ID Cliente]" caption="ID Cliente" attribute="1" defaultMemberUniqueName="[clientes].[ID Cliente].[All]" allUniqueName="[clientes].[ID Cliente].[All]" dimensionUniqueName="[clientes]" displayFolder="" count="0" memberValueDatatype="130" unbalanced="0"/>
    <cacheHierarchy uniqueName="[clientes].[Nombre Cliente]" caption="Nombre Cliente" attribute="1" defaultMemberUniqueName="[clientes].[Nombre Cliente].[All]" allUniqueName="[clientes].[Nombre Cliente].[All]" dimensionUniqueName="[clientes]" displayFolder="" count="0" memberValueDatatype="130" unbalanced="0"/>
    <cacheHierarchy uniqueName="[clientes].[Ciudad]" caption="Ciudad" attribute="1" defaultMemberUniqueName="[clientes].[Ciudad].[All]" allUniqueName="[clientes].[Ciudad].[All]" dimensionUniqueName="[clientes]" displayFolder="" count="0" memberValueDatatype="130" unbalanced="0"/>
    <cacheHierarchy uniqueName="[clientes].[Género]" caption="Género" attribute="1" defaultMemberUniqueName="[clientes].[Género].[All]" allUniqueName="[clientes].[Género].[All]" dimensionUniqueName="[clientes]" displayFolder="" count="0" memberValueDatatype="130" unbalanced="0"/>
    <cacheHierarchy uniqueName="[productos].[ID Producto]" caption="ID Producto" attribute="1" defaultMemberUniqueName="[productos].[ID Producto].[All]" allUniqueName="[productos].[ID Producto].[All]" dimensionUniqueName="[productos]" displayFolder="" count="0" memberValueDatatype="130" unbalanced="0"/>
    <cacheHierarchy uniqueName="[productos].[Nombre Producto]" caption="Nombre Producto" attribute="1" defaultMemberUniqueName="[productos].[Nombre Producto].[All]" allUniqueName="[productos].[Nombre Producto].[All]" dimensionUniqueName="[productos]" displayFolder="" count="0" memberValueDatatype="130" unbalanced="0"/>
    <cacheHierarchy uniqueName="[productos].[Categoría]" caption="Categoría" attribute="1" defaultMemberUniqueName="[productos].[Categoría].[All]" allUniqueName="[productos].[Categoría].[All]" dimensionUniqueName="[productos]" displayFolder="" count="2" memberValueDatatype="130" unbalanced="0"/>
    <cacheHierarchy uniqueName="[productos].[Precio Unitario]" caption="Precio Unitario" attribute="1" defaultMemberUniqueName="[productos].[Precio Unitario].[All]" allUniqueName="[productos].[Precio Unitario].[All]" dimensionUniqueName="[productos]" displayFolder="" count="0" memberValueDatatype="20" unbalanced="0"/>
    <cacheHierarchy uniqueName="[sucursales].[ID Sucursal]" caption="ID Sucursal" attribute="1" defaultMemberUniqueName="[sucursales].[ID Sucursal].[All]" allUniqueName="[sucursales].[ID Sucursal].[All]" dimensionUniqueName="[sucursales]" displayFolder="" count="0" memberValueDatatype="130" unbalanced="0"/>
    <cacheHierarchy uniqueName="[sucursales].[Nombre Sucursal]" caption="Nombre Sucursal" attribute="1" defaultMemberUniqueName="[sucursales].[Nombre Sucursal].[All]" allUniqueName="[sucursales].[Nombre Sucursal].[All]" dimensionUniqueName="[sucursales]" displayFolder="" count="2" memberValueDatatype="130" unbalanced="0">
      <fieldsUsage count="2">
        <fieldUsage x="-1"/>
        <fieldUsage x="2"/>
      </fieldsUsage>
    </cacheHierarchy>
    <cacheHierarchy uniqueName="[sucursales].[Ciudad]" caption="Ciudad" attribute="1" defaultMemberUniqueName="[sucursales].[Ciudad].[All]" allUniqueName="[sucursales].[Ciudad].[All]" dimensionUniqueName="[sucursales]" displayFolder="" count="0" memberValueDatatype="130" unbalanced="0"/>
    <cacheHierarchy uniqueName="[ventas].[ID Venta]" caption="ID Venta" attribute="1" defaultMemberUniqueName="[ventas].[ID Venta].[All]" allUniqueName="[ventas].[ID Venta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ID Cliente]" caption="ID Cliente" attribute="1" defaultMemberUniqueName="[ventas].[ID Cliente].[All]" allUniqueName="[ventas].[ID Cliente].[All]" dimensionUniqueName="[ventas]" displayFolder="" count="0" memberValueDatatype="130" unbalanced="0"/>
    <cacheHierarchy uniqueName="[ventas].[ID Producto]" caption="ID Producto" attribute="1" defaultMemberUniqueName="[ventas].[ID Producto].[All]" allUniqueName="[ventas].[ID Producto].[All]" dimensionUniqueName="[ventas]" displayFolder="" count="0" memberValueDatatype="130" unbalanced="0"/>
    <cacheHierarchy uniqueName="[ventas].[Nombre Producto]" caption="Nombre Producto" attribute="1" defaultMemberUniqueName="[ventas].[Nombre Producto].[All]" allUniqueName="[ventas].[Nombre Producto].[All]" dimensionUniqueName="[ventas]" displayFolder="" count="0" memberValueDatatype="130" unbalanced="0"/>
    <cacheHierarchy uniqueName="[ventas].[Medio de Pago]" caption="Medio de Pago" attribute="1" defaultMemberUniqueName="[ventas].[Medio de Pago].[All]" allUniqueName="[ventas].[Medio de Pago].[All]" dimensionUniqueName="[ventas]" displayFolder="" count="2" memberValueDatatype="130" unbalanced="0">
      <fieldsUsage count="2">
        <fieldUsage x="-1"/>
        <fieldUsage x="0"/>
      </fieldsUsage>
    </cacheHierarchy>
    <cacheHierarchy uniqueName="[ventas].[ID Sucursal]" caption="ID Sucursal" attribute="1" defaultMemberUniqueName="[ventas].[ID Sucursal].[All]" allUniqueName="[ventas].[ID Sucursal].[All]" dimensionUniqueName="[ventas]" displayFolder="" count="0" memberValueDatatype="130" unbalanced="0"/>
    <cacheHierarchy uniqueName="[ventas].[Cantidad]" caption="Cantidad" attribute="1" defaultMemberUniqueName="[ventas].[Cantidad].[All]" allUniqueName="[ventas].[Cantidad].[All]" dimensionUniqueName="[ventas]" displayFolder="" count="0" memberValueDatatype="20" unbalanced="0"/>
    <cacheHierarchy uniqueName="[ventas].[Precio Unitario]" caption="Precio Unitario" attribute="1" defaultMemberUniqueName="[ventas].[Precio Unitario].[All]" allUniqueName="[ventas].[Precio Unitario].[All]" dimensionUniqueName="[ventas]" displayFolder="" count="0" memberValueDatatype="20" unbalanced="0"/>
    <cacheHierarchy uniqueName="[ventas].[Total Venta]" caption="Total Venta" attribute="1" defaultMemberUniqueName="[ventas].[Total Venta].[All]" allUniqueName="[ventas].[Total Venta].[All]" dimensionUniqueName="[ventas]" displayFolder="" count="0" memberValueDatatype="20" unbalanced="0"/>
    <cacheHierarchy uniqueName="[calendario].[Fecha (índice de meses)]" caption="Fecha (índice de meses)" attribute="1" defaultMemberUniqueName="[calendario].[Fecha (índice de meses)].[All]" allUniqueName="[calendario].[Fecha (índice de meses)].[All]" dimensionUniqueName="[calendario]" displayFolder="" count="0" memberValueDatatype="20" unbalanced="0" hidden="1"/>
    <cacheHierarchy uniqueName="[Measures].[__XL_Count calendario]" caption="__XL_Count calendario" measure="1" displayFolder="" measureGroup="calendario" count="0" hidden="1"/>
    <cacheHierarchy uniqueName="[Measures].[__XL_Count ventas]" caption="__XL_Count ventas" measure="1" displayFolder="" measureGroup="ventas" count="0" hidden="1"/>
    <cacheHierarchy uniqueName="[Measures].[__XL_Count sucursales]" caption="__XL_Count sucursales" measure="1" displayFolder="" measureGroup="sucursales" count="0" hidden="1"/>
    <cacheHierarchy uniqueName="[Measures].[__XL_Count productos]" caption="__XL_Count productos" measure="1" displayFolder="" measureGroup="productos" count="0" hidden="1"/>
    <cacheHierarchy uniqueName="[Measures].[__XL_Count clientes]" caption="__XL_Count clientes" measure="1" displayFolder="" measureGroup="clientes" count="0" hidden="1"/>
    <cacheHierarchy uniqueName="[Measures].[__No hay medidas definidas]" caption="__No hay medidas definidas" measure="1" displayFolder="" count="0" hidden="1"/>
    <cacheHierarchy uniqueName="[Measures].[Suma de Total Venta]" caption="Suma de Total Venta" measure="1" displayFolder="" measureGroup="vent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a de Cantidad]" caption="Suma de Cantidad" measure="1" displayFolder="" measureGroup="venta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Recuento de Fecha (mes)]" caption="Recuento de Fecha (mes)" measure="1" displayFolder="" measureGroup="calendario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Mes Español]" caption="Recuento de Mes Español" measure="1" displayFolder="" measureGroup="calendari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6">
    <dimension name="calendario" uniqueName="[calendario]" caption="calendario"/>
    <dimension name="clientes" uniqueName="[clientes]" caption="clientes"/>
    <dimension measure="1" name="Measures" uniqueName="[Measures]" caption="Measures"/>
    <dimension name="productos" uniqueName="[productos]" caption="productos"/>
    <dimension name="sucursales" uniqueName="[sucursales]" caption="sucursales"/>
    <dimension name="ventas" uniqueName="[ventas]" caption="ventas"/>
  </dimensions>
  <measureGroups count="5">
    <measureGroup name="calendario" caption="calendario"/>
    <measureGroup name="clientes" caption="clientes"/>
    <measureGroup name="productos" caption="productos"/>
    <measureGroup name="sucursales" caption="sucursales"/>
    <measureGroup name="ventas" caption="ventas"/>
  </measureGroups>
  <maps count="9">
    <map measureGroup="0" dimension="0"/>
    <map measureGroup="1" dimension="1"/>
    <map measureGroup="2" dimension="3"/>
    <map measureGroup="3" dimension="4"/>
    <map measureGroup="4" dimension="0"/>
    <map measureGroup="4" dimension="1"/>
    <map measureGroup="4" dimension="3"/>
    <map measureGroup="4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5789.8484537037" backgroundQuery="1" createdVersion="7" refreshedVersion="7" minRefreshableVersion="3" recordCount="0" supportSubquery="1" supportAdvancedDrill="1" xr:uid="{2107DB38-0D18-41CB-9D3A-8AFBEEC21A0F}">
  <cacheSource type="external" connectionId="8"/>
  <cacheFields count="3">
    <cacheField name="[productos].[Categoría].[Categoría]" caption="Categoría" numFmtId="0" hierarchy="13" level="1">
      <sharedItems count="5">
        <s v="Abarrotes"/>
        <s v="Bebidas"/>
        <s v="Carnes"/>
        <s v="Lácteos"/>
        <s v="Limpieza"/>
      </sharedItems>
    </cacheField>
    <cacheField name="[Measures].[Suma de Total Venta]" caption="Suma de Total Venta" numFmtId="0" hierarchy="35" level="32767"/>
    <cacheField name="[sucursales].[Nombre Sucursal].[Nombre Sucursal]" caption="Nombre Sucursal" numFmtId="0" hierarchy="16" level="1">
      <sharedItems containsSemiMixedTypes="0" containsNonDate="0" containsString="0"/>
    </cacheField>
  </cacheFields>
  <cacheHierarchies count="39">
    <cacheHierarchy uniqueName="[calendario].[Fecha]" caption="Fecha" attribute="1" time="1" defaultMemberUniqueName="[calendario].[Fecha].[All]" allUniqueName="[calendario].[Fecha].[All]" dimensionUniqueName="[calendario]" displayFolder="" count="0" memberValueDatatype="7" unbalanced="0"/>
    <cacheHierarchy uniqueName="[calendario].[Año]" caption="Año" attribute="1" defaultMemberUniqueName="[calendario].[Año].[All]" allUniqueName="[calendario].[Año].[All]" dimensionUniqueName="[calendario]" displayFolder="" count="0" memberValueDatatype="20" unbalanced="0"/>
    <cacheHierarchy uniqueName="[calendario].[Mes]" caption="Mes" attribute="1" defaultMemberUniqueName="[calendario].[Mes].[All]" allUniqueName="[calendario].[Mes].[All]" dimensionUniqueName="[calendario]" displayFolder="" count="0" memberValueDatatype="130" unbalanced="0"/>
    <cacheHierarchy uniqueName="[calendario].[Mes Español]" caption="Mes Español" attribute="1" defaultMemberUniqueName="[calendario].[Mes Español].[All]" allUniqueName="[calendario].[Mes Español].[All]" dimensionUniqueName="[calendario]" displayFolder="" count="0" memberValueDatatype="130" unbalanced="0"/>
    <cacheHierarchy uniqueName="[calendario].[Trimestre]" caption="Trimestre" attribute="1" defaultMemberUniqueName="[calendario].[Trimestre].[All]" allUniqueName="[calendario].[Trimestre].[All]" dimensionUniqueName="[calendario]" displayFolder="" count="0" memberValueDatatype="20" unbalanced="0"/>
    <cacheHierarchy uniqueName="[calendario].[Día Semana]" caption="Día Semana" attribute="1" defaultMemberUniqueName="[calendario].[Día Semana].[All]" allUniqueName="[calendario].[Día Semana].[All]" dimensionUniqueName="[calendario]" displayFolder="" count="0" memberValueDatatype="130" unbalanced="0"/>
    <cacheHierarchy uniqueName="[calendario].[Fecha (mes)]" caption="Fecha (mes)" attribute="1" defaultMemberUniqueName="[calendario].[Fecha (mes)].[All]" allUniqueName="[calendario].[Fecha (mes)].[All]" dimensionUniqueName="[calendario]" displayFolder="" count="0" memberValueDatatype="130" unbalanced="0"/>
    <cacheHierarchy uniqueName="[clientes].[ID Cliente]" caption="ID Cliente" attribute="1" defaultMemberUniqueName="[clientes].[ID Cliente].[All]" allUniqueName="[clientes].[ID Cliente].[All]" dimensionUniqueName="[clientes]" displayFolder="" count="0" memberValueDatatype="130" unbalanced="0"/>
    <cacheHierarchy uniqueName="[clientes].[Nombre Cliente]" caption="Nombre Cliente" attribute="1" defaultMemberUniqueName="[clientes].[Nombre Cliente].[All]" allUniqueName="[clientes].[Nombre Cliente].[All]" dimensionUniqueName="[clientes]" displayFolder="" count="0" memberValueDatatype="130" unbalanced="0"/>
    <cacheHierarchy uniqueName="[clientes].[Ciudad]" caption="Ciudad" attribute="1" defaultMemberUniqueName="[clientes].[Ciudad].[All]" allUniqueName="[clientes].[Ciudad].[All]" dimensionUniqueName="[clientes]" displayFolder="" count="0" memberValueDatatype="130" unbalanced="0"/>
    <cacheHierarchy uniqueName="[clientes].[Género]" caption="Género" attribute="1" defaultMemberUniqueName="[clientes].[Género].[All]" allUniqueName="[clientes].[Género].[All]" dimensionUniqueName="[clientes]" displayFolder="" count="0" memberValueDatatype="130" unbalanced="0"/>
    <cacheHierarchy uniqueName="[productos].[ID Producto]" caption="ID Producto" attribute="1" defaultMemberUniqueName="[productos].[ID Producto].[All]" allUniqueName="[productos].[ID Producto].[All]" dimensionUniqueName="[productos]" displayFolder="" count="0" memberValueDatatype="130" unbalanced="0"/>
    <cacheHierarchy uniqueName="[productos].[Nombre Producto]" caption="Nombre Producto" attribute="1" defaultMemberUniqueName="[productos].[Nombre Producto].[All]" allUniqueName="[productos].[Nombre Producto].[All]" dimensionUniqueName="[productos]" displayFolder="" count="0" memberValueDatatype="130" unbalanced="0"/>
    <cacheHierarchy uniqueName="[productos].[Categoría]" caption="Categoría" attribute="1" defaultMemberUniqueName="[productos].[Categoría].[All]" allUniqueName="[productos].[Categoría].[All]" dimensionUniqueName="[productos]" displayFolder="" count="2" memberValueDatatype="130" unbalanced="0">
      <fieldsUsage count="2">
        <fieldUsage x="-1"/>
        <fieldUsage x="0"/>
      </fieldsUsage>
    </cacheHierarchy>
    <cacheHierarchy uniqueName="[productos].[Precio Unitario]" caption="Precio Unitario" attribute="1" defaultMemberUniqueName="[productos].[Precio Unitario].[All]" allUniqueName="[productos].[Precio Unitario].[All]" dimensionUniqueName="[productos]" displayFolder="" count="0" memberValueDatatype="20" unbalanced="0"/>
    <cacheHierarchy uniqueName="[sucursales].[ID Sucursal]" caption="ID Sucursal" attribute="1" defaultMemberUniqueName="[sucursales].[ID Sucursal].[All]" allUniqueName="[sucursales].[ID Sucursal].[All]" dimensionUniqueName="[sucursales]" displayFolder="" count="0" memberValueDatatype="130" unbalanced="0"/>
    <cacheHierarchy uniqueName="[sucursales].[Nombre Sucursal]" caption="Nombre Sucursal" attribute="1" defaultMemberUniqueName="[sucursales].[Nombre Sucursal].[All]" allUniqueName="[sucursales].[Nombre Sucursal].[All]" dimensionUniqueName="[sucursales]" displayFolder="" count="2" memberValueDatatype="130" unbalanced="0">
      <fieldsUsage count="2">
        <fieldUsage x="-1"/>
        <fieldUsage x="2"/>
      </fieldsUsage>
    </cacheHierarchy>
    <cacheHierarchy uniqueName="[sucursales].[Ciudad]" caption="Ciudad" attribute="1" defaultMemberUniqueName="[sucursales].[Ciudad].[All]" allUniqueName="[sucursales].[Ciudad].[All]" dimensionUniqueName="[sucursales]" displayFolder="" count="0" memberValueDatatype="130" unbalanced="0"/>
    <cacheHierarchy uniqueName="[ventas].[ID Venta]" caption="ID Venta" attribute="1" defaultMemberUniqueName="[ventas].[ID Venta].[All]" allUniqueName="[ventas].[ID Venta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ID Cliente]" caption="ID Cliente" attribute="1" defaultMemberUniqueName="[ventas].[ID Cliente].[All]" allUniqueName="[ventas].[ID Cliente].[All]" dimensionUniqueName="[ventas]" displayFolder="" count="0" memberValueDatatype="130" unbalanced="0"/>
    <cacheHierarchy uniqueName="[ventas].[ID Producto]" caption="ID Producto" attribute="1" defaultMemberUniqueName="[ventas].[ID Producto].[All]" allUniqueName="[ventas].[ID Producto].[All]" dimensionUniqueName="[ventas]" displayFolder="" count="0" memberValueDatatype="130" unbalanced="0"/>
    <cacheHierarchy uniqueName="[ventas].[Nombre Producto]" caption="Nombre Producto" attribute="1" defaultMemberUniqueName="[ventas].[Nombre Producto].[All]" allUniqueName="[ventas].[Nombre Producto].[All]" dimensionUniqueName="[ventas]" displayFolder="" count="0" memberValueDatatype="130" unbalanced="0"/>
    <cacheHierarchy uniqueName="[ventas].[Medio de Pago]" caption="Medio de Pago" attribute="1" defaultMemberUniqueName="[ventas].[Medio de Pago].[All]" allUniqueName="[ventas].[Medio de Pago].[All]" dimensionUniqueName="[ventas]" displayFolder="" count="0" memberValueDatatype="130" unbalanced="0"/>
    <cacheHierarchy uniqueName="[ventas].[ID Sucursal]" caption="ID Sucursal" attribute="1" defaultMemberUniqueName="[ventas].[ID Sucursal].[All]" allUniqueName="[ventas].[ID Sucursal].[All]" dimensionUniqueName="[ventas]" displayFolder="" count="0" memberValueDatatype="130" unbalanced="0"/>
    <cacheHierarchy uniqueName="[ventas].[Cantidad]" caption="Cantidad" attribute="1" defaultMemberUniqueName="[ventas].[Cantidad].[All]" allUniqueName="[ventas].[Cantidad].[All]" dimensionUniqueName="[ventas]" displayFolder="" count="0" memberValueDatatype="20" unbalanced="0"/>
    <cacheHierarchy uniqueName="[ventas].[Precio Unitario]" caption="Precio Unitario" attribute="1" defaultMemberUniqueName="[ventas].[Precio Unitario].[All]" allUniqueName="[ventas].[Precio Unitario].[All]" dimensionUniqueName="[ventas]" displayFolder="" count="0" memberValueDatatype="20" unbalanced="0"/>
    <cacheHierarchy uniqueName="[ventas].[Total Venta]" caption="Total Venta" attribute="1" defaultMemberUniqueName="[ventas].[Total Venta].[All]" allUniqueName="[ventas].[Total Venta].[All]" dimensionUniqueName="[ventas]" displayFolder="" count="0" memberValueDatatype="20" unbalanced="0"/>
    <cacheHierarchy uniqueName="[calendario].[Fecha (índice de meses)]" caption="Fecha (índice de meses)" attribute="1" defaultMemberUniqueName="[calendario].[Fecha (índice de meses)].[All]" allUniqueName="[calendario].[Fecha (índice de meses)].[All]" dimensionUniqueName="[calendario]" displayFolder="" count="0" memberValueDatatype="20" unbalanced="0" hidden="1"/>
    <cacheHierarchy uniqueName="[Measures].[__XL_Count calendario]" caption="__XL_Count calendario" measure="1" displayFolder="" measureGroup="calendario" count="0" hidden="1"/>
    <cacheHierarchy uniqueName="[Measures].[__XL_Count ventas]" caption="__XL_Count ventas" measure="1" displayFolder="" measureGroup="ventas" count="0" hidden="1"/>
    <cacheHierarchy uniqueName="[Measures].[__XL_Count sucursales]" caption="__XL_Count sucursales" measure="1" displayFolder="" measureGroup="sucursales" count="0" hidden="1"/>
    <cacheHierarchy uniqueName="[Measures].[__XL_Count productos]" caption="__XL_Count productos" measure="1" displayFolder="" measureGroup="productos" count="0" hidden="1"/>
    <cacheHierarchy uniqueName="[Measures].[__XL_Count clientes]" caption="__XL_Count clientes" measure="1" displayFolder="" measureGroup="clientes" count="0" hidden="1"/>
    <cacheHierarchy uniqueName="[Measures].[__No hay medidas definidas]" caption="__No hay medidas definidas" measure="1" displayFolder="" count="0" hidden="1"/>
    <cacheHierarchy uniqueName="[Measures].[Suma de Total Venta]" caption="Suma de Total Venta" measure="1" displayFolder="" measureGroup="vent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a de Cantidad]" caption="Suma de Cantidad" measure="1" displayFolder="" measureGroup="venta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Recuento de Fecha (mes)]" caption="Recuento de Fecha (mes)" measure="1" displayFolder="" measureGroup="calendario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Mes Español]" caption="Recuento de Mes Español" measure="1" displayFolder="" measureGroup="calendari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6">
    <dimension name="calendario" uniqueName="[calendario]" caption="calendario"/>
    <dimension name="clientes" uniqueName="[clientes]" caption="clientes"/>
    <dimension measure="1" name="Measures" uniqueName="[Measures]" caption="Measures"/>
    <dimension name="productos" uniqueName="[productos]" caption="productos"/>
    <dimension name="sucursales" uniqueName="[sucursales]" caption="sucursales"/>
    <dimension name="ventas" uniqueName="[ventas]" caption="ventas"/>
  </dimensions>
  <measureGroups count="5">
    <measureGroup name="calendario" caption="calendario"/>
    <measureGroup name="clientes" caption="clientes"/>
    <measureGroup name="productos" caption="productos"/>
    <measureGroup name="sucursales" caption="sucursales"/>
    <measureGroup name="ventas" caption="ventas"/>
  </measureGroups>
  <maps count="9">
    <map measureGroup="0" dimension="0"/>
    <map measureGroup="1" dimension="1"/>
    <map measureGroup="2" dimension="3"/>
    <map measureGroup="3" dimension="4"/>
    <map measureGroup="4" dimension="0"/>
    <map measureGroup="4" dimension="1"/>
    <map measureGroup="4" dimension="3"/>
    <map measureGroup="4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5789.848460416666" backgroundQuery="1" createdVersion="7" refreshedVersion="7" minRefreshableVersion="3" recordCount="0" supportSubquery="1" supportAdvancedDrill="1" xr:uid="{8FE07553-1E3F-437F-9518-C71F218A24C2}">
  <cacheSource type="external" connectionId="8"/>
  <cacheFields count="1">
    <cacheField name="[productos].[Categoría].[Categoría]" caption="Categoría" numFmtId="0" hierarchy="13" level="1">
      <sharedItems count="5">
        <s v="Abarrotes"/>
        <s v="Bebidas"/>
        <s v="Carnes"/>
        <s v="Lácteos"/>
        <s v="Limpieza"/>
      </sharedItems>
    </cacheField>
  </cacheFields>
  <cacheHierarchies count="39">
    <cacheHierarchy uniqueName="[calendario].[Fecha]" caption="Fecha" attribute="1" time="1" defaultMemberUniqueName="[calendario].[Fecha].[All]" allUniqueName="[calendario].[Fecha].[All]" dimensionUniqueName="[calendario]" displayFolder="" count="0" memberValueDatatype="7" unbalanced="0"/>
    <cacheHierarchy uniqueName="[calendario].[Año]" caption="Año" attribute="1" defaultMemberUniqueName="[calendario].[Año].[All]" allUniqueName="[calendario].[Año].[All]" dimensionUniqueName="[calendario]" displayFolder="" count="0" memberValueDatatype="20" unbalanced="0"/>
    <cacheHierarchy uniqueName="[calendario].[Mes]" caption="Mes" attribute="1" defaultMemberUniqueName="[calendario].[Mes].[All]" allUniqueName="[calendario].[Mes].[All]" dimensionUniqueName="[calendario]" displayFolder="" count="0" memberValueDatatype="130" unbalanced="0"/>
    <cacheHierarchy uniqueName="[calendario].[Mes Español]" caption="Mes Español" attribute="1" defaultMemberUniqueName="[calendario].[Mes Español].[All]" allUniqueName="[calendario].[Mes Español].[All]" dimensionUniqueName="[calendario]" displayFolder="" count="0" memberValueDatatype="130" unbalanced="0"/>
    <cacheHierarchy uniqueName="[calendario].[Trimestre]" caption="Trimestre" attribute="1" defaultMemberUniqueName="[calendario].[Trimestre].[All]" allUniqueName="[calendario].[Trimestre].[All]" dimensionUniqueName="[calendario]" displayFolder="" count="0" memberValueDatatype="20" unbalanced="0"/>
    <cacheHierarchy uniqueName="[calendario].[Día Semana]" caption="Día Semana" attribute="1" defaultMemberUniqueName="[calendario].[Día Semana].[All]" allUniqueName="[calendario].[Día Semana].[All]" dimensionUniqueName="[calendario]" displayFolder="" count="0" memberValueDatatype="130" unbalanced="0"/>
    <cacheHierarchy uniqueName="[calendario].[Fecha (mes)]" caption="Fecha (mes)" attribute="1" defaultMemberUniqueName="[calendario].[Fecha (mes)].[All]" allUniqueName="[calendario].[Fecha (mes)].[All]" dimensionUniqueName="[calendario]" displayFolder="" count="0" memberValueDatatype="130" unbalanced="0"/>
    <cacheHierarchy uniqueName="[clientes].[ID Cliente]" caption="ID Cliente" attribute="1" defaultMemberUniqueName="[clientes].[ID Cliente].[All]" allUniqueName="[clientes].[ID Cliente].[All]" dimensionUniqueName="[clientes]" displayFolder="" count="0" memberValueDatatype="130" unbalanced="0"/>
    <cacheHierarchy uniqueName="[clientes].[Nombre Cliente]" caption="Nombre Cliente" attribute="1" defaultMemberUniqueName="[clientes].[Nombre Cliente].[All]" allUniqueName="[clientes].[Nombre Cliente].[All]" dimensionUniqueName="[clientes]" displayFolder="" count="0" memberValueDatatype="130" unbalanced="0"/>
    <cacheHierarchy uniqueName="[clientes].[Ciudad]" caption="Ciudad" attribute="1" defaultMemberUniqueName="[clientes].[Ciudad].[All]" allUniqueName="[clientes].[Ciudad].[All]" dimensionUniqueName="[clientes]" displayFolder="" count="0" memberValueDatatype="130" unbalanced="0"/>
    <cacheHierarchy uniqueName="[clientes].[Género]" caption="Género" attribute="1" defaultMemberUniqueName="[clientes].[Género].[All]" allUniqueName="[clientes].[Género].[All]" dimensionUniqueName="[clientes]" displayFolder="" count="0" memberValueDatatype="130" unbalanced="0"/>
    <cacheHierarchy uniqueName="[productos].[ID Producto]" caption="ID Producto" attribute="1" defaultMemberUniqueName="[productos].[ID Producto].[All]" allUniqueName="[productos].[ID Producto].[All]" dimensionUniqueName="[productos]" displayFolder="" count="0" memberValueDatatype="130" unbalanced="0"/>
    <cacheHierarchy uniqueName="[productos].[Nombre Producto]" caption="Nombre Producto" attribute="1" defaultMemberUniqueName="[productos].[Nombre Producto].[All]" allUniqueName="[productos].[Nombre Producto].[All]" dimensionUniqueName="[productos]" displayFolder="" count="0" memberValueDatatype="130" unbalanced="0"/>
    <cacheHierarchy uniqueName="[productos].[Categoría]" caption="Categoría" attribute="1" defaultMemberUniqueName="[productos].[Categoría].[All]" allUniqueName="[productos].[Categoría].[All]" dimensionUniqueName="[productos]" displayFolder="" count="2" memberValueDatatype="130" unbalanced="0">
      <fieldsUsage count="2">
        <fieldUsage x="-1"/>
        <fieldUsage x="0"/>
      </fieldsUsage>
    </cacheHierarchy>
    <cacheHierarchy uniqueName="[productos].[Precio Unitario]" caption="Precio Unitario" attribute="1" defaultMemberUniqueName="[productos].[Precio Unitario].[All]" allUniqueName="[productos].[Precio Unitario].[All]" dimensionUniqueName="[productos]" displayFolder="" count="0" memberValueDatatype="20" unbalanced="0"/>
    <cacheHierarchy uniqueName="[sucursales].[ID Sucursal]" caption="ID Sucursal" attribute="1" defaultMemberUniqueName="[sucursales].[ID Sucursal].[All]" allUniqueName="[sucursales].[ID Sucursal].[All]" dimensionUniqueName="[sucursales]" displayFolder="" count="0" memberValueDatatype="130" unbalanced="0"/>
    <cacheHierarchy uniqueName="[sucursales].[Nombre Sucursal]" caption="Nombre Sucursal" attribute="1" defaultMemberUniqueName="[sucursales].[Nombre Sucursal].[All]" allUniqueName="[sucursales].[Nombre Sucursal].[All]" dimensionUniqueName="[sucursales]" displayFolder="" count="0" memberValueDatatype="130" unbalanced="0"/>
    <cacheHierarchy uniqueName="[sucursales].[Ciudad]" caption="Ciudad" attribute="1" defaultMemberUniqueName="[sucursales].[Ciudad].[All]" allUniqueName="[sucursales].[Ciudad].[All]" dimensionUniqueName="[sucursales]" displayFolder="" count="0" memberValueDatatype="130" unbalanced="0"/>
    <cacheHierarchy uniqueName="[ventas].[ID Venta]" caption="ID Venta" attribute="1" defaultMemberUniqueName="[ventas].[ID Venta].[All]" allUniqueName="[ventas].[ID Venta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ID Cliente]" caption="ID Cliente" attribute="1" defaultMemberUniqueName="[ventas].[ID Cliente].[All]" allUniqueName="[ventas].[ID Cliente].[All]" dimensionUniqueName="[ventas]" displayFolder="" count="0" memberValueDatatype="130" unbalanced="0"/>
    <cacheHierarchy uniqueName="[ventas].[ID Producto]" caption="ID Producto" attribute="1" defaultMemberUniqueName="[ventas].[ID Producto].[All]" allUniqueName="[ventas].[ID Producto].[All]" dimensionUniqueName="[ventas]" displayFolder="" count="0" memberValueDatatype="130" unbalanced="0"/>
    <cacheHierarchy uniqueName="[ventas].[Nombre Producto]" caption="Nombre Producto" attribute="1" defaultMemberUniqueName="[ventas].[Nombre Producto].[All]" allUniqueName="[ventas].[Nombre Producto].[All]" dimensionUniqueName="[ventas]" displayFolder="" count="0" memberValueDatatype="130" unbalanced="0"/>
    <cacheHierarchy uniqueName="[ventas].[Medio de Pago]" caption="Medio de Pago" attribute="1" defaultMemberUniqueName="[ventas].[Medio de Pago].[All]" allUniqueName="[ventas].[Medio de Pago].[All]" dimensionUniqueName="[ventas]" displayFolder="" count="0" memberValueDatatype="130" unbalanced="0"/>
    <cacheHierarchy uniqueName="[ventas].[ID Sucursal]" caption="ID Sucursal" attribute="1" defaultMemberUniqueName="[ventas].[ID Sucursal].[All]" allUniqueName="[ventas].[ID Sucursal].[All]" dimensionUniqueName="[ventas]" displayFolder="" count="0" memberValueDatatype="130" unbalanced="0"/>
    <cacheHierarchy uniqueName="[ventas].[Cantidad]" caption="Cantidad" attribute="1" defaultMemberUniqueName="[ventas].[Cantidad].[All]" allUniqueName="[ventas].[Cantidad].[All]" dimensionUniqueName="[ventas]" displayFolder="" count="0" memberValueDatatype="20" unbalanced="0"/>
    <cacheHierarchy uniqueName="[ventas].[Precio Unitario]" caption="Precio Unitario" attribute="1" defaultMemberUniqueName="[ventas].[Precio Unitario].[All]" allUniqueName="[ventas].[Precio Unitario].[All]" dimensionUniqueName="[ventas]" displayFolder="" count="0" memberValueDatatype="20" unbalanced="0"/>
    <cacheHierarchy uniqueName="[ventas].[Total Venta]" caption="Total Venta" attribute="1" defaultMemberUniqueName="[ventas].[Total Venta].[All]" allUniqueName="[ventas].[Total Venta].[All]" dimensionUniqueName="[ventas]" displayFolder="" count="0" memberValueDatatype="20" unbalanced="0"/>
    <cacheHierarchy uniqueName="[calendario].[Fecha (índice de meses)]" caption="Fecha (índice de meses)" attribute="1" defaultMemberUniqueName="[calendario].[Fecha (índice de meses)].[All]" allUniqueName="[calendario].[Fecha (índice de meses)].[All]" dimensionUniqueName="[calendario]" displayFolder="" count="0" memberValueDatatype="20" unbalanced="0" hidden="1"/>
    <cacheHierarchy uniqueName="[Measures].[__XL_Count calendario]" caption="__XL_Count calendario" measure="1" displayFolder="" measureGroup="calendario" count="0" hidden="1"/>
    <cacheHierarchy uniqueName="[Measures].[__XL_Count ventas]" caption="__XL_Count ventas" measure="1" displayFolder="" measureGroup="ventas" count="0" hidden="1"/>
    <cacheHierarchy uniqueName="[Measures].[__XL_Count sucursales]" caption="__XL_Count sucursales" measure="1" displayFolder="" measureGroup="sucursales" count="0" hidden="1"/>
    <cacheHierarchy uniqueName="[Measures].[__XL_Count productos]" caption="__XL_Count productos" measure="1" displayFolder="" measureGroup="productos" count="0" hidden="1"/>
    <cacheHierarchy uniqueName="[Measures].[__XL_Count clientes]" caption="__XL_Count clientes" measure="1" displayFolder="" measureGroup="clientes" count="0" hidden="1"/>
    <cacheHierarchy uniqueName="[Measures].[__No hay medidas definidas]" caption="__No hay medidas definidas" measure="1" displayFolder="" count="0" hidden="1"/>
    <cacheHierarchy uniqueName="[Measures].[Suma de Total Venta]" caption="Suma de Total Venta" measure="1" displayFolder="" measureGroup="venta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a de Cantidad]" caption="Suma de Cantidad" measure="1" displayFolder="" measureGroup="venta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Recuento de Fecha (mes)]" caption="Recuento de Fecha (mes)" measure="1" displayFolder="" measureGroup="calendario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Mes Español]" caption="Recuento de Mes Español" measure="1" displayFolder="" measureGroup="calendari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6">
    <dimension name="calendario" uniqueName="[calendario]" caption="calendario"/>
    <dimension name="clientes" uniqueName="[clientes]" caption="clientes"/>
    <dimension measure="1" name="Measures" uniqueName="[Measures]" caption="Measures"/>
    <dimension name="productos" uniqueName="[productos]" caption="productos"/>
    <dimension name="sucursales" uniqueName="[sucursales]" caption="sucursales"/>
    <dimension name="ventas" uniqueName="[ventas]" caption="ventas"/>
  </dimensions>
  <measureGroups count="5">
    <measureGroup name="calendario" caption="calendario"/>
    <measureGroup name="clientes" caption="clientes"/>
    <measureGroup name="productos" caption="productos"/>
    <measureGroup name="sucursales" caption="sucursales"/>
    <measureGroup name="ventas" caption="ventas"/>
  </measureGroups>
  <maps count="9">
    <map measureGroup="0" dimension="0"/>
    <map measureGroup="1" dimension="1"/>
    <map measureGroup="2" dimension="3"/>
    <map measureGroup="3" dimension="4"/>
    <map measureGroup="4" dimension="0"/>
    <map measureGroup="4" dimension="1"/>
    <map measureGroup="4" dimension="3"/>
    <map measureGroup="4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5784.663995601855" backgroundQuery="1" createdVersion="3" refreshedVersion="7" minRefreshableVersion="3" recordCount="0" supportSubquery="1" supportAdvancedDrill="1" xr:uid="{7313B3DE-9FF3-46D7-AA38-905E90496046}">
  <cacheSource type="external" connectionId="8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9">
    <cacheHierarchy uniqueName="[calendario].[Fecha]" caption="Fecha" attribute="1" time="1" defaultMemberUniqueName="[calendario].[Fecha].[All]" allUniqueName="[calendario].[Fecha].[All]" dimensionUniqueName="[calendario]" displayFolder="" count="0" memberValueDatatype="7" unbalanced="0"/>
    <cacheHierarchy uniqueName="[calendario].[Año]" caption="Año" attribute="1" defaultMemberUniqueName="[calendario].[Año].[All]" allUniqueName="[calendario].[Año].[All]" dimensionUniqueName="[calendario]" displayFolder="" count="0" memberValueDatatype="20" unbalanced="0"/>
    <cacheHierarchy uniqueName="[calendario].[Mes]" caption="Mes" attribute="1" defaultMemberUniqueName="[calendario].[Mes].[All]" allUniqueName="[calendario].[Mes].[All]" dimensionUniqueName="[calendario]" displayFolder="" count="0" memberValueDatatype="130" unbalanced="0"/>
    <cacheHierarchy uniqueName="[calendario].[Mes Español]" caption="Mes Español" attribute="1" defaultMemberUniqueName="[calendario].[Mes Español].[All]" allUniqueName="[calendario].[Mes Español].[All]" dimensionUniqueName="[calendario]" displayFolder="" count="0" memberValueDatatype="130" unbalanced="0"/>
    <cacheHierarchy uniqueName="[calendario].[Trimestre]" caption="Trimestre" attribute="1" defaultMemberUniqueName="[calendario].[Trimestre].[All]" allUniqueName="[calendario].[Trimestre].[All]" dimensionUniqueName="[calendario]" displayFolder="" count="2" memberValueDatatype="20" unbalanced="0"/>
    <cacheHierarchy uniqueName="[calendario].[Día Semana]" caption="Día Semana" attribute="1" defaultMemberUniqueName="[calendario].[Día Semana].[All]" allUniqueName="[calendario].[Día Semana].[All]" dimensionUniqueName="[calendario]" displayFolder="" count="0" memberValueDatatype="130" unbalanced="0"/>
    <cacheHierarchy uniqueName="[calendario].[Fecha (mes)]" caption="Fecha (mes)" attribute="1" defaultMemberUniqueName="[calendario].[Fecha (mes)].[All]" allUniqueName="[calendario].[Fecha (mes)].[All]" dimensionUniqueName="[calendario]" displayFolder="" count="0" memberValueDatatype="130" unbalanced="0"/>
    <cacheHierarchy uniqueName="[clientes].[ID Cliente]" caption="ID Cliente" attribute="1" defaultMemberUniqueName="[clientes].[ID Cliente].[All]" allUniqueName="[clientes].[ID Cliente].[All]" dimensionUniqueName="[clientes]" displayFolder="" count="0" memberValueDatatype="130" unbalanced="0"/>
    <cacheHierarchy uniqueName="[clientes].[Nombre Cliente]" caption="Nombre Cliente" attribute="1" defaultMemberUniqueName="[clientes].[Nombre Cliente].[All]" allUniqueName="[clientes].[Nombre Cliente].[All]" dimensionUniqueName="[clientes]" displayFolder="" count="0" memberValueDatatype="130" unbalanced="0"/>
    <cacheHierarchy uniqueName="[clientes].[Ciudad]" caption="Ciudad" attribute="1" defaultMemberUniqueName="[clientes].[Ciudad].[All]" allUniqueName="[clientes].[Ciudad].[All]" dimensionUniqueName="[clientes]" displayFolder="" count="0" memberValueDatatype="130" unbalanced="0"/>
    <cacheHierarchy uniqueName="[clientes].[Género]" caption="Género" attribute="1" defaultMemberUniqueName="[clientes].[Género].[All]" allUniqueName="[clientes].[Género].[All]" dimensionUniqueName="[clientes]" displayFolder="" count="0" memberValueDatatype="130" unbalanced="0"/>
    <cacheHierarchy uniqueName="[productos].[ID Producto]" caption="ID Producto" attribute="1" defaultMemberUniqueName="[productos].[ID Producto].[All]" allUniqueName="[productos].[ID Producto].[All]" dimensionUniqueName="[productos]" displayFolder="" count="0" memberValueDatatype="130" unbalanced="0"/>
    <cacheHierarchy uniqueName="[productos].[Nombre Producto]" caption="Nombre Producto" attribute="1" defaultMemberUniqueName="[productos].[Nombre Producto].[All]" allUniqueName="[productos].[Nombre Producto].[All]" dimensionUniqueName="[productos]" displayFolder="" count="0" memberValueDatatype="130" unbalanced="0"/>
    <cacheHierarchy uniqueName="[productos].[Categoría]" caption="Categoría" attribute="1" defaultMemberUniqueName="[productos].[Categoría].[All]" allUniqueName="[productos].[Categoría].[All]" dimensionUniqueName="[productos]" displayFolder="" count="2" memberValueDatatype="130" unbalanced="0"/>
    <cacheHierarchy uniqueName="[productos].[Precio Unitario]" caption="Precio Unitario" attribute="1" defaultMemberUniqueName="[productos].[Precio Unitario].[All]" allUniqueName="[productos].[Precio Unitario].[All]" dimensionUniqueName="[productos]" displayFolder="" count="0" memberValueDatatype="20" unbalanced="0"/>
    <cacheHierarchy uniqueName="[sucursales].[ID Sucursal]" caption="ID Sucursal" attribute="1" defaultMemberUniqueName="[sucursales].[ID Sucursal].[All]" allUniqueName="[sucursales].[ID Sucursal].[All]" dimensionUniqueName="[sucursales]" displayFolder="" count="0" memberValueDatatype="130" unbalanced="0"/>
    <cacheHierarchy uniqueName="[sucursales].[Nombre Sucursal]" caption="Nombre Sucursal" attribute="1" defaultMemberUniqueName="[sucursales].[Nombre Sucursal].[All]" allUniqueName="[sucursales].[Nombre Sucursal].[All]" dimensionUniqueName="[sucursales]" displayFolder="" count="2" memberValueDatatype="130" unbalanced="0"/>
    <cacheHierarchy uniqueName="[sucursales].[Ciudad]" caption="Ciudad" attribute="1" defaultMemberUniqueName="[sucursales].[Ciudad].[All]" allUniqueName="[sucursales].[Ciudad].[All]" dimensionUniqueName="[sucursales]" displayFolder="" count="0" memberValueDatatype="130" unbalanced="0"/>
    <cacheHierarchy uniqueName="[ventas].[ID Venta]" caption="ID Venta" attribute="1" defaultMemberUniqueName="[ventas].[ID Venta].[All]" allUniqueName="[ventas].[ID Venta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ID Cliente]" caption="ID Cliente" attribute="1" defaultMemberUniqueName="[ventas].[ID Cliente].[All]" allUniqueName="[ventas].[ID Cliente].[All]" dimensionUniqueName="[ventas]" displayFolder="" count="0" memberValueDatatype="130" unbalanced="0"/>
    <cacheHierarchy uniqueName="[ventas].[ID Producto]" caption="ID Producto" attribute="1" defaultMemberUniqueName="[ventas].[ID Producto].[All]" allUniqueName="[ventas].[ID Producto].[All]" dimensionUniqueName="[ventas]" displayFolder="" count="0" memberValueDatatype="130" unbalanced="0"/>
    <cacheHierarchy uniqueName="[ventas].[Nombre Producto]" caption="Nombre Producto" attribute="1" defaultMemberUniqueName="[ventas].[Nombre Producto].[All]" allUniqueName="[ventas].[Nombre Producto].[All]" dimensionUniqueName="[ventas]" displayFolder="" count="0" memberValueDatatype="130" unbalanced="0"/>
    <cacheHierarchy uniqueName="[ventas].[Medio de Pago]" caption="Medio de Pago" attribute="1" defaultMemberUniqueName="[ventas].[Medio de Pago].[All]" allUniqueName="[ventas].[Medio de Pago].[All]" dimensionUniqueName="[ventas]" displayFolder="" count="0" memberValueDatatype="130" unbalanced="0"/>
    <cacheHierarchy uniqueName="[ventas].[ID Sucursal]" caption="ID Sucursal" attribute="1" defaultMemberUniqueName="[ventas].[ID Sucursal].[All]" allUniqueName="[ventas].[ID Sucursal].[All]" dimensionUniqueName="[ventas]" displayFolder="" count="0" memberValueDatatype="130" unbalanced="0"/>
    <cacheHierarchy uniqueName="[ventas].[Cantidad]" caption="Cantidad" attribute="1" defaultMemberUniqueName="[ventas].[Cantidad].[All]" allUniqueName="[ventas].[Cantidad].[All]" dimensionUniqueName="[ventas]" displayFolder="" count="0" memberValueDatatype="20" unbalanced="0"/>
    <cacheHierarchy uniqueName="[ventas].[Precio Unitario]" caption="Precio Unitario" attribute="1" defaultMemberUniqueName="[ventas].[Precio Unitario].[All]" allUniqueName="[ventas].[Precio Unitario].[All]" dimensionUniqueName="[ventas]" displayFolder="" count="0" memberValueDatatype="20" unbalanced="0"/>
    <cacheHierarchy uniqueName="[ventas].[Total Venta]" caption="Total Venta" attribute="1" defaultMemberUniqueName="[ventas].[Total Venta].[All]" allUniqueName="[ventas].[Total Venta].[All]" dimensionUniqueName="[ventas]" displayFolder="" count="0" memberValueDatatype="20" unbalanced="0"/>
    <cacheHierarchy uniqueName="[calendario].[Fecha (índice de meses)]" caption="Fecha (índice de meses)" attribute="1" defaultMemberUniqueName="[calendario].[Fecha (índice de meses)].[All]" allUniqueName="[calendario].[Fecha (índice de meses)].[All]" dimensionUniqueName="[calendario]" displayFolder="" count="0" memberValueDatatype="20" unbalanced="0" hidden="1"/>
    <cacheHierarchy uniqueName="[Measures].[__XL_Count calendario]" caption="__XL_Count calendario" measure="1" displayFolder="" measureGroup="calendario" count="0" hidden="1"/>
    <cacheHierarchy uniqueName="[Measures].[__XL_Count ventas]" caption="__XL_Count ventas" measure="1" displayFolder="" measureGroup="ventas" count="0" hidden="1"/>
    <cacheHierarchy uniqueName="[Measures].[__XL_Count sucursales]" caption="__XL_Count sucursales" measure="1" displayFolder="" measureGroup="sucursales" count="0" hidden="1"/>
    <cacheHierarchy uniqueName="[Measures].[__XL_Count productos]" caption="__XL_Count productos" measure="1" displayFolder="" measureGroup="productos" count="0" hidden="1"/>
    <cacheHierarchy uniqueName="[Measures].[__XL_Count clientes]" caption="__XL_Count clientes" measure="1" displayFolder="" measureGroup="clientes" count="0" hidden="1"/>
    <cacheHierarchy uniqueName="[Measures].[__No hay medidas definidas]" caption="__No hay medidas definidas" measure="1" displayFolder="" count="0" hidden="1"/>
    <cacheHierarchy uniqueName="[Measures].[Suma de Total Venta]" caption="Suma de Total Venta" measure="1" displayFolder="" measureGroup="venta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a de Cantidad]" caption="Suma de Cantidad" measure="1" displayFolder="" measureGroup="venta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Recuento de Fecha (mes)]" caption="Recuento de Fecha (mes)" measure="1" displayFolder="" measureGroup="calendario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Mes Español]" caption="Recuento de Mes Español" measure="1" displayFolder="" measureGroup="calendari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549398639"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5784.737840046299" backgroundQuery="1" createdVersion="3" refreshedVersion="7" minRefreshableVersion="3" recordCount="0" supportSubquery="1" supportAdvancedDrill="1" xr:uid="{5833C0F9-EF79-40B7-8CA1-2A78946C456C}">
  <cacheSource type="external" connectionId="8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9">
    <cacheHierarchy uniqueName="[calendario].[Fecha]" caption="Fecha" attribute="1" time="1" defaultMemberUniqueName="[calendario].[Fecha].[All]" allUniqueName="[calendario].[Fecha].[All]" dimensionUniqueName="[calendario]" displayFolder="" count="0" memberValueDatatype="7" unbalanced="0"/>
    <cacheHierarchy uniqueName="[calendario].[Año]" caption="Año" attribute="1" defaultMemberUniqueName="[calendario].[Año].[All]" allUniqueName="[calendario].[Año].[All]" dimensionUniqueName="[calendario]" displayFolder="" count="0" memberValueDatatype="20" unbalanced="0"/>
    <cacheHierarchy uniqueName="[calendario].[Mes]" caption="Mes" attribute="1" defaultMemberUniqueName="[calendario].[Mes].[All]" allUniqueName="[calendario].[Mes].[All]" dimensionUniqueName="[calendario]" displayFolder="" count="0" memberValueDatatype="130" unbalanced="0"/>
    <cacheHierarchy uniqueName="[calendario].[Mes Español]" caption="Mes Español" attribute="1" defaultMemberUniqueName="[calendario].[Mes Español].[All]" allUniqueName="[calendario].[Mes Español].[All]" dimensionUniqueName="[calendario]" displayFolder="" count="0" memberValueDatatype="130" unbalanced="0"/>
    <cacheHierarchy uniqueName="[calendario].[Trimestre]" caption="Trimestre" attribute="1" defaultMemberUniqueName="[calendario].[Trimestre].[All]" allUniqueName="[calendario].[Trimestre].[All]" dimensionUniqueName="[calendario]" displayFolder="" count="0" memberValueDatatype="20" unbalanced="0"/>
    <cacheHierarchy uniqueName="[calendario].[Día Semana]" caption="Día Semana" attribute="1" defaultMemberUniqueName="[calendario].[Día Semana].[All]" allUniqueName="[calendario].[Día Semana].[All]" dimensionUniqueName="[calendario]" displayFolder="" count="0" memberValueDatatype="130" unbalanced="0"/>
    <cacheHierarchy uniqueName="[calendario].[Fecha (mes)]" caption="Fecha (mes)" attribute="1" defaultMemberUniqueName="[calendario].[Fecha (mes)].[All]" allUniqueName="[calendario].[Fecha (mes)].[All]" dimensionUniqueName="[calendario]" displayFolder="" count="0" memberValueDatatype="130" unbalanced="0"/>
    <cacheHierarchy uniqueName="[clientes].[ID Cliente]" caption="ID Cliente" attribute="1" defaultMemberUniqueName="[clientes].[ID Cliente].[All]" allUniqueName="[clientes].[ID Cliente].[All]" dimensionUniqueName="[clientes]" displayFolder="" count="0" memberValueDatatype="130" unbalanced="0"/>
    <cacheHierarchy uniqueName="[clientes].[Nombre Cliente]" caption="Nombre Cliente" attribute="1" defaultMemberUniqueName="[clientes].[Nombre Cliente].[All]" allUniqueName="[clientes].[Nombre Cliente].[All]" dimensionUniqueName="[clientes]" displayFolder="" count="0" memberValueDatatype="130" unbalanced="0"/>
    <cacheHierarchy uniqueName="[clientes].[Ciudad]" caption="Ciudad" attribute="1" defaultMemberUniqueName="[clientes].[Ciudad].[All]" allUniqueName="[clientes].[Ciudad].[All]" dimensionUniqueName="[clientes]" displayFolder="" count="0" memberValueDatatype="130" unbalanced="0"/>
    <cacheHierarchy uniqueName="[clientes].[Género]" caption="Género" attribute="1" defaultMemberUniqueName="[clientes].[Género].[All]" allUniqueName="[clientes].[Género].[All]" dimensionUniqueName="[clientes]" displayFolder="" count="0" memberValueDatatype="130" unbalanced="0"/>
    <cacheHierarchy uniqueName="[productos].[ID Producto]" caption="ID Producto" attribute="1" defaultMemberUniqueName="[productos].[ID Producto].[All]" allUniqueName="[productos].[ID Producto].[All]" dimensionUniqueName="[productos]" displayFolder="" count="0" memberValueDatatype="130" unbalanced="0"/>
    <cacheHierarchy uniqueName="[productos].[Nombre Producto]" caption="Nombre Producto" attribute="1" defaultMemberUniqueName="[productos].[Nombre Producto].[All]" allUniqueName="[productos].[Nombre Producto].[All]" dimensionUniqueName="[productos]" displayFolder="" count="0" memberValueDatatype="130" unbalanced="0"/>
    <cacheHierarchy uniqueName="[productos].[Categoría]" caption="Categoría" attribute="1" defaultMemberUniqueName="[productos].[Categoría].[All]" allUniqueName="[productos].[Categoría].[All]" dimensionUniqueName="[productos]" displayFolder="" count="0" memberValueDatatype="130" unbalanced="0"/>
    <cacheHierarchy uniqueName="[productos].[Precio Unitario]" caption="Precio Unitario" attribute="1" defaultMemberUniqueName="[productos].[Precio Unitario].[All]" allUniqueName="[productos].[Precio Unitario].[All]" dimensionUniqueName="[productos]" displayFolder="" count="0" memberValueDatatype="20" unbalanced="0"/>
    <cacheHierarchy uniqueName="[sucursales].[ID Sucursal]" caption="ID Sucursal" attribute="1" defaultMemberUniqueName="[sucursales].[ID Sucursal].[All]" allUniqueName="[sucursales].[ID Sucursal].[All]" dimensionUniqueName="[sucursales]" displayFolder="" count="0" memberValueDatatype="130" unbalanced="0"/>
    <cacheHierarchy uniqueName="[sucursales].[Nombre Sucursal]" caption="Nombre Sucursal" attribute="1" defaultMemberUniqueName="[sucursales].[Nombre Sucursal].[All]" allUniqueName="[sucursales].[Nombre Sucursal].[All]" dimensionUniqueName="[sucursales]" displayFolder="" count="2" memberValueDatatype="130" unbalanced="0"/>
    <cacheHierarchy uniqueName="[sucursales].[Ciudad]" caption="Ciudad" attribute="1" defaultMemberUniqueName="[sucursales].[Ciudad].[All]" allUniqueName="[sucursales].[Ciudad].[All]" dimensionUniqueName="[sucursales]" displayFolder="" count="0" memberValueDatatype="130" unbalanced="0"/>
    <cacheHierarchy uniqueName="[ventas].[ID Venta]" caption="ID Venta" attribute="1" defaultMemberUniqueName="[ventas].[ID Venta].[All]" allUniqueName="[ventas].[ID Venta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ID Cliente]" caption="ID Cliente" attribute="1" defaultMemberUniqueName="[ventas].[ID Cliente].[All]" allUniqueName="[ventas].[ID Cliente].[All]" dimensionUniqueName="[ventas]" displayFolder="" count="0" memberValueDatatype="130" unbalanced="0"/>
    <cacheHierarchy uniqueName="[ventas].[ID Producto]" caption="ID Producto" attribute="1" defaultMemberUniqueName="[ventas].[ID Producto].[All]" allUniqueName="[ventas].[ID Producto].[All]" dimensionUniqueName="[ventas]" displayFolder="" count="0" memberValueDatatype="130" unbalanced="0"/>
    <cacheHierarchy uniqueName="[ventas].[Nombre Producto]" caption="Nombre Producto" attribute="1" defaultMemberUniqueName="[ventas].[Nombre Producto].[All]" allUniqueName="[ventas].[Nombre Producto].[All]" dimensionUniqueName="[ventas]" displayFolder="" count="0" memberValueDatatype="130" unbalanced="0"/>
    <cacheHierarchy uniqueName="[ventas].[Medio de Pago]" caption="Medio de Pago" attribute="1" defaultMemberUniqueName="[ventas].[Medio de Pago].[All]" allUniqueName="[ventas].[Medio de Pago].[All]" dimensionUniqueName="[ventas]" displayFolder="" count="0" memberValueDatatype="130" unbalanced="0"/>
    <cacheHierarchy uniqueName="[ventas].[ID Sucursal]" caption="ID Sucursal" attribute="1" defaultMemberUniqueName="[ventas].[ID Sucursal].[All]" allUniqueName="[ventas].[ID Sucursal].[All]" dimensionUniqueName="[ventas]" displayFolder="" count="0" memberValueDatatype="130" unbalanced="0"/>
    <cacheHierarchy uniqueName="[ventas].[Cantidad]" caption="Cantidad" attribute="1" defaultMemberUniqueName="[ventas].[Cantidad].[All]" allUniqueName="[ventas].[Cantidad].[All]" dimensionUniqueName="[ventas]" displayFolder="" count="0" memberValueDatatype="20" unbalanced="0"/>
    <cacheHierarchy uniqueName="[ventas].[Precio Unitario]" caption="Precio Unitario" attribute="1" defaultMemberUniqueName="[ventas].[Precio Unitario].[All]" allUniqueName="[ventas].[Precio Unitario].[All]" dimensionUniqueName="[ventas]" displayFolder="" count="0" memberValueDatatype="20" unbalanced="0"/>
    <cacheHierarchy uniqueName="[ventas].[Total Venta]" caption="Total Venta" attribute="1" defaultMemberUniqueName="[ventas].[Total Venta].[All]" allUniqueName="[ventas].[Total Venta].[All]" dimensionUniqueName="[ventas]" displayFolder="" count="0" memberValueDatatype="20" unbalanced="0"/>
    <cacheHierarchy uniqueName="[calendario].[Fecha (índice de meses)]" caption="Fecha (índice de meses)" attribute="1" defaultMemberUniqueName="[calendario].[Fecha (índice de meses)].[All]" allUniqueName="[calendario].[Fecha (índice de meses)].[All]" dimensionUniqueName="[calendario]" displayFolder="" count="0" memberValueDatatype="20" unbalanced="0" hidden="1"/>
    <cacheHierarchy uniqueName="[Measures].[__XL_Count calendario]" caption="__XL_Count calendario" measure="1" displayFolder="" measureGroup="calendario" count="0" hidden="1"/>
    <cacheHierarchy uniqueName="[Measures].[__XL_Count ventas]" caption="__XL_Count ventas" measure="1" displayFolder="" measureGroup="ventas" count="0" hidden="1"/>
    <cacheHierarchy uniqueName="[Measures].[__XL_Count sucursales]" caption="__XL_Count sucursales" measure="1" displayFolder="" measureGroup="sucursales" count="0" hidden="1"/>
    <cacheHierarchy uniqueName="[Measures].[__XL_Count productos]" caption="__XL_Count productos" measure="1" displayFolder="" measureGroup="productos" count="0" hidden="1"/>
    <cacheHierarchy uniqueName="[Measures].[__XL_Count clientes]" caption="__XL_Count clientes" measure="1" displayFolder="" measureGroup="clientes" count="0" hidden="1"/>
    <cacheHierarchy uniqueName="[Measures].[__No hay medidas definidas]" caption="__No hay medidas definidas" measure="1" displayFolder="" count="0" hidden="1"/>
    <cacheHierarchy uniqueName="[Measures].[Suma de Total Venta]" caption="Suma de Total Venta" measure="1" displayFolder="" measureGroup="venta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a de Cantidad]" caption="Suma de Cantidad" measure="1" displayFolder="" measureGroup="venta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Recuento de Fecha (mes)]" caption="Recuento de Fecha (mes)" measure="1" displayFolder="" measureGroup="calendario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Mes Español]" caption="Recuento de Mes Español" measure="1" displayFolder="" measureGroup="calendario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558178694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852666-CE54-4F42-ADB8-9D26E6E5328B}" name="TipoPagoVenta" cacheId="168" applyNumberFormats="0" applyBorderFormats="0" applyFontFormats="0" applyPatternFormats="0" applyAlignmentFormats="0" applyWidthHeightFormats="1" dataCaption="Valores" tag="f72f99a3-7a8f-4e87-8c6e-f39e5ebb54c6" updatedVersion="7" minRefreshableVersion="3" useAutoFormatting="1" subtotalHiddenItems="1" itemPrintTitles="1" createdVersion="7" indent="0" outline="1" outlineData="1" multipleFieldFilters="0" chartFormat="4">
  <location ref="H19:I23" firstHeaderRow="1" firstDataRow="1" firstDataCol="1"/>
  <pivotFields count="3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Total Venta" fld="1" baseField="0" baseItem="0" numFmtId="164"/>
  </dataFields>
  <formats count="1">
    <format dxfId="0">
      <pivotArea outline="0" collapsedLevelsAreSubtotals="1" fieldPosition="0"/>
    </format>
  </formats>
  <chartFormats count="4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Hierarchies count="39"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Medium12" showRowHeaders="1" showColHeaders="1" showRowStripes="0" showColStripes="0" showLastColumn="1"/>
  <rowHierarchiesUsage count="1">
    <rowHierarchyUsage hierarchyUsage="2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entas]"/>
        <x15:activeTabTopLevelEntity name="[productos]"/>
        <x15:activeTabTopLevelEntity name="[sucursales]"/>
        <x15:activeTabTopLevelEntity name="[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F520CF-BAD5-4892-B751-9F2812DD5CCE}" name="GeneroCantidad" cacheId="166" applyNumberFormats="0" applyBorderFormats="0" applyFontFormats="0" applyPatternFormats="0" applyAlignmentFormats="0" applyWidthHeightFormats="1" dataCaption="Valores" tag="b9611061-951b-442c-9898-795f94b103ef" updatedVersion="7" minRefreshableVersion="3" useAutoFormatting="1" subtotalHiddenItems="1" itemPrintTitles="1" createdVersion="7" indent="0" outline="1" outlineData="1" multipleFieldFilters="0" chartFormat="6" rowHeaderCaption="Genero">
  <location ref="H10:I13" firstHeaderRow="1" firstDataRow="1" firstDataCol="1"/>
  <pivotFields count="3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uma de Cantidad" fld="1" baseField="0" baseItem="0" numFmtId="3"/>
  </dataFields>
  <formats count="1">
    <format dxfId="1">
      <pivotArea outline="0" collapsedLevelsAreSubtotals="1" fieldPosition="0"/>
    </format>
  </formats>
  <chartFormats count="3"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5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Hierarchies count="39"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Medium12" showRowHeaders="1" showColHeaders="1" showRowStripes="0" showColStripes="0" showLastColumn="1"/>
  <rowHierarchiesUsage count="1">
    <rowHierarchyUsage hierarchyUsage="1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lientes]"/>
        <x15:activeTabTopLevelEntity name="[ventas]"/>
        <x15:activeTabTopLevelEntity name="[productos]"/>
        <x15:activeTabTopLevelEntity name="[sucur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3B580E-3CA4-426F-A5CC-FB0658CE1AA0}" name="SucursalCantidad" cacheId="0" applyNumberFormats="0" applyBorderFormats="0" applyFontFormats="0" applyPatternFormats="0" applyAlignmentFormats="0" applyWidthHeightFormats="1" dataCaption="Valores" tag="fb0511ca-511f-436c-af3c-2803a3bc845e" updatedVersion="7" minRefreshableVersion="3" useAutoFormatting="1" itemPrintTitles="1" createdVersion="7" indent="0" outline="1" outlineData="1" multipleFieldFilters="0" chartFormat="4">
  <location ref="B19:C23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Cantidad" fld="1" baseField="0" baseItem="0"/>
  </dataFields>
  <formats count="1">
    <format dxfId="2">
      <pivotArea collapsedLevelsAreSubtotals="1" fieldPosition="0">
        <references count="1">
          <reference field="0" count="1">
            <x v="0"/>
          </reference>
        </references>
      </pivotArea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Medium12" showRowHeaders="1" showColHeaders="1" showRowStripes="0" showColStripes="0" showLastColumn="1"/>
  <rowHierarchiesUsage count="1">
    <rowHierarchyUsage hierarchyUsage="1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ucursales]"/>
        <x15:activeTabTopLevelEntity name="[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33BE6E-5E80-40FD-85A7-C37DF8033067}" name="MesVenta" cacheId="150" applyNumberFormats="0" applyBorderFormats="0" applyFontFormats="0" applyPatternFormats="0" applyAlignmentFormats="0" applyWidthHeightFormats="1" dataCaption="Valores" tag="70079297-caa2-4c93-8719-63718cfa0f1a" updatedVersion="7" minRefreshableVersion="3" useAutoFormatting="1" subtotalHiddenItems="1" itemPrintTitles="1" createdVersion="7" indent="0" outline="1" outlineData="1" multipleFieldFilters="0" chartFormat="6">
  <location ref="B26:C39" firstHeaderRow="1" firstDataRow="1" firstDataCol="1"/>
  <pivotFields count="4">
    <pivotField dataField="1" subtotalTop="0" showAll="0" defaultSubtotal="0"/>
    <pivotField axis="axisRow" allDrilled="1" subtotalTop="0" showAll="0" sortType="ascending" defaultSubtotal="0" defaultAttributeDrillState="1">
      <items count="12">
        <item x="3"/>
        <item x="4"/>
        <item x="7"/>
        <item x="0"/>
        <item x="8"/>
        <item x="6"/>
        <item x="5"/>
        <item x="1"/>
        <item x="11"/>
        <item x="10"/>
        <item x="9"/>
        <item x="2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a de Total Venta" fld="0" baseField="0" baseItem="0" numFmtId="164"/>
  </dataFields>
  <formats count="1">
    <format dxfId="3">
      <pivotArea outline="0" collapsedLevelsAreSubtotals="1" fieldPosition="0"/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9"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ventas].[Medio de Pago].&amp;[Transferencia]"/>
      </members>
    </pivotHierarchy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Medium12" showRowHeaders="1" showColHeaders="1" showRowStripes="0" showColStripes="0" showLastColumn="1"/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ario]"/>
        <x15:activeTabTopLevelEntity name="[ventas]"/>
        <x15:activeTabTopLevelEntity name="[produc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D9DB73-FAA1-4AF7-BAFC-BBC0722247D5}" name="CategoriaVentas" cacheId="164" applyNumberFormats="0" applyBorderFormats="0" applyFontFormats="0" applyPatternFormats="0" applyAlignmentFormats="0" applyWidthHeightFormats="1" dataCaption="Valores" tag="7bcdb363-6890-4485-bb6a-43e692804162" updatedVersion="7" minRefreshableVersion="3" useAutoFormatting="1" subtotalHiddenItems="1" itemPrintTitles="1" createdVersion="7" indent="0" outline="1" outlineData="1" multipleFieldFilters="0" chartFormat="5" rowHeaderCaption="Categoria">
  <location ref="E10:F16" firstHeaderRow="1" firstDataRow="1" firstDataCol="1"/>
  <pivotFields count="3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a de Total Venta" fld="1" baseField="0" baseItem="0" numFmtId="164"/>
  </dataFields>
  <formats count="1">
    <format dxfId="4">
      <pivotArea outline="0" collapsedLevelsAreSubtotals="1" fieldPosition="0"/>
    </format>
  </format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Medium12" showRowHeaders="1" showColHeaders="1" showRowStripes="0" showColStripes="0" showLastColumn="1"/>
  <rowHierarchiesUsage count="1">
    <rowHierarchyUsage hierarchyUsage="1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roductos]"/>
        <x15:activeTabTopLevelEntity name="[ventas]"/>
        <x15:activeTabTopLevelEntity name="[sucur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C9538C-E7F7-43C3-B2AE-3FE5B5B0FA9B}" name="SucursalVentas" cacheId="153" applyNumberFormats="0" applyBorderFormats="0" applyFontFormats="0" applyPatternFormats="0" applyAlignmentFormats="0" applyWidthHeightFormats="1" dataCaption="Valores" tag="926f7a29-8da9-4343-a2a4-be85dac63d78" updatedVersion="7" minRefreshableVersion="3" useAutoFormatting="1" subtotalHiddenItems="1" itemPrintTitles="1" createdVersion="7" indent="0" outline="1" outlineData="1" multipleFieldFilters="0" chartFormat="9" rowHeaderCaption="Sucursal">
  <location ref="B10:C14" firstHeaderRow="1" firstDataRow="1" firstDataCol="1"/>
  <pivotFields count="3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Total Venta" fld="1" baseField="0" baseItem="0" numFmtId="164"/>
  </dataFields>
  <formats count="1">
    <format dxfId="5">
      <pivotArea outline="0" collapsedLevelsAreSubtotals="1" fieldPosition="0"/>
    </format>
  </formats>
  <chartFormats count="1"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9"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Medium12" showRowHeaders="1" showColHeaders="1" showRowStripes="0" showColStripes="0" showLastColumn="1"/>
  <rowHierarchiesUsage count="1">
    <rowHierarchyUsage hierarchyUsage="1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ucursales]"/>
        <x15:activeTabTopLevelEntity name="[ventas]"/>
        <x15:activeTabTopLevelEntity name="[productos]"/>
        <x15:activeTabTopLevelEntity name="[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C5A64B-0659-445D-B133-069932052370}" name="TipoPagoCantidad" cacheId="1" applyNumberFormats="0" applyBorderFormats="0" applyFontFormats="0" applyPatternFormats="0" applyAlignmentFormats="0" applyWidthHeightFormats="1" dataCaption="Valores" tag="e820f104-7c52-44c1-9fd2-5c6ab37b6f95" updatedVersion="7" minRefreshableVersion="3" useAutoFormatting="1" subtotalHiddenItems="1" itemPrintTitles="1" createdVersion="7" indent="0" outline="1" outlineData="1" multipleFieldFilters="0" chartFormat="4">
  <location ref="E19:F23" firstHeaderRow="1" firstDataRow="1" firstDataCol="1"/>
  <pivotFields count="4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Cantidad" fld="1" baseField="0" baseItem="0" numFmtId="3"/>
  </dataFields>
  <formats count="1">
    <format dxfId="6">
      <pivotArea outline="0" collapsedLevelsAreSubtotals="1" fieldPosition="0"/>
    </format>
  </formats>
  <pivotHierarchies count="39">
    <pivotHierarchy dragToData="1"/>
    <pivotHierarchy dragToData="1"/>
    <pivotHierarchy multipleItemSelectionAllowed="1" dragToData="1"/>
    <pivotHierarchy dragToData="1"/>
    <pivotHierarchy multipleItemSelectionAllowed="1" dragToData="1">
      <members count="1" level="1">
        <member name="[calendario].[Trimestr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productos].[Categoría].&amp;[Bebidas]"/>
      </members>
    </pivotHierarchy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Medium12" showRowHeaders="1" showColHeaders="1" showRowStripes="0" showColStripes="0" showLastColumn="1"/>
  <rowHierarchiesUsage count="1">
    <rowHierarchyUsage hierarchyUsage="2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entas]"/>
        <x15:activeTabTopLevelEntity name="[sucur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78A04B-7276-40E4-81DA-42E874C0B583}" name="tcat" cacheId="17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47:B53" firstHeaderRow="1" firstDataRow="1" firstDataCol="1"/>
  <pivotFields count="1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1">
    <rowHierarchyUsage hierarchyUsage="1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roduc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A05E5040-2D7E-419B-B1B9-782C53737A5E}" autoFormatId="16" applyNumberFormats="0" applyBorderFormats="0" applyFontFormats="0" applyPatternFormats="0" applyAlignmentFormats="0" applyWidthHeightFormats="0">
  <queryTableRefresh nextId="8">
    <queryTableFields count="6">
      <queryTableField id="1" name="Fecha" tableColumnId="1"/>
      <queryTableField id="2" name="Año" tableColumnId="2"/>
      <queryTableField id="3" name="Mes" tableColumnId="3"/>
      <queryTableField id="6" dataBound="0" tableColumnId="6"/>
      <queryTableField id="4" name="Trimestre" tableColumnId="4"/>
      <queryTableField id="7" name="Día Semana" tableColumnId="7"/>
    </queryTableFields>
    <queryTableDeletedFields count="1">
      <deletedField name="Día Semana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31E992DA-D1F2-430C-A95B-E572B79D448A}" autoFormatId="16" applyNumberFormats="0" applyBorderFormats="0" applyFontFormats="0" applyPatternFormats="0" applyAlignmentFormats="0" applyWidthHeightFormats="0">
  <queryTableRefresh nextId="10">
    <queryTableFields count="4">
      <queryTableField id="5" name="ID Cliente" tableColumnId="5"/>
      <queryTableField id="6" name="Nombre Cliente" tableColumnId="6"/>
      <queryTableField id="9" dataBound="0" tableColumnId="9"/>
      <queryTableField id="7" name="Género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7" xr16:uid="{A6E8E6C2-1A69-4320-989A-97BE68D29FB3}" autoFormatId="16" applyNumberFormats="0" applyBorderFormats="0" applyFontFormats="0" applyPatternFormats="0" applyAlignmentFormats="0" applyWidthHeightFormats="0">
  <queryTableRefresh nextId="11">
    <queryTableFields count="10">
      <queryTableField id="1" name="ID Venta" tableColumnId="1"/>
      <queryTableField id="2" name="Fecha" tableColumnId="2"/>
      <queryTableField id="3" name="ID Cliente" tableColumnId="3"/>
      <queryTableField id="4" name="ID Producto" tableColumnId="4"/>
      <queryTableField id="9" dataBound="0" tableColumnId="9"/>
      <queryTableField id="10" dataBound="0" tableColumnId="10"/>
      <queryTableField id="5" name="ID Sucursal" tableColumnId="5"/>
      <queryTableField id="6" name="Cantidad" tableColumnId="6"/>
      <queryTableField id="7" name="Precio Unitario" tableColumnId="7"/>
      <queryTableField id="8" name="Total Venta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A510FCB1-E1D1-44B5-A0E7-92FC67E87048}" autoFormatId="16" applyNumberFormats="0" applyBorderFormats="0" applyFontFormats="0" applyPatternFormats="0" applyAlignmentFormats="0" applyWidthHeightFormats="0">
  <queryTableRefresh nextId="6">
    <queryTableFields count="3">
      <queryTableField id="1" name="ID Sucursal" tableColumnId="1"/>
      <queryTableField id="2" name="Nombre Sucursal" tableColumnId="2"/>
      <queryTableField id="5" name="Ciudad" tableColumnId="5"/>
    </queryTableFields>
    <queryTableDeletedFields count="2">
      <deletedField name="Ciudad"/>
      <deletedField name="Ciudad"/>
    </queryTableDeleted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3" xr16:uid="{1DCAF652-8C5F-449F-98DA-1E1A28324006}" autoFormatId="16" applyNumberFormats="0" applyBorderFormats="0" applyFontFormats="0" applyPatternFormats="0" applyAlignmentFormats="0" applyWidthHeightFormats="0">
  <queryTableRefresh nextId="5">
    <queryTableFields count="4">
      <queryTableField id="1" name="ID Producto" tableColumnId="1"/>
      <queryTableField id="2" name="Nombre Producto" tableColumnId="2"/>
      <queryTableField id="3" name="Categoría" tableColumnId="3"/>
      <queryTableField id="4" name="Precio Unitario" tableColumnId="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rimestre" xr10:uid="{A813BE3C-94A4-41A2-8EDF-770AD52A0DC1}" sourceName="[calendario].[Trimestre]">
  <pivotTables>
    <pivotTable tabId="3" name="MesVenta"/>
    <pivotTable tabId="3" name="SucursalVentas"/>
    <pivotTable tabId="3" name="TipoPagoVenta"/>
    <pivotTable tabId="3" name="GeneroCantidad"/>
  </pivotTables>
  <data>
    <olap pivotCacheId="1549398639">
      <levels count="2">
        <level uniqueName="[calendario].[Trimestre].[(All)]" sourceCaption="(All)" count="0"/>
        <level uniqueName="[calendario].[Trimestre].[Trimestre]" sourceCaption="Trimestre" count="4">
          <ranges>
            <range startItem="0">
              <i n="[calendario].[Trimestre].&amp;[1]" c="1"/>
              <i n="[calendario].[Trimestre].&amp;[2]" c="2"/>
              <i n="[calendario].[Trimestre].&amp;[3]" c="3"/>
              <i n="[calendario].[Trimestre].&amp;[4]" c="4"/>
            </range>
          </ranges>
        </level>
      </levels>
      <selections count="1">
        <selection n="[calendario].[Trimestre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ía" xr10:uid="{1D181876-6439-4AA2-9845-755AE94A114D}" sourceName="[productos].[Categoría]">
  <pivotTables>
    <pivotTable tabId="15" name="tcat"/>
  </pivotTables>
  <data>
    <olap pivotCacheId="1549398639">
      <levels count="2">
        <level uniqueName="[productos].[Categoría].[(All)]" sourceCaption="(All)" count="0"/>
        <level uniqueName="[productos].[Categoría].[Categoría]" sourceCaption="Categoría" count="5">
          <ranges>
            <range startItem="0">
              <i n="[productos].[Categoría].&amp;[Abarrotes]" c="Abarrotes"/>
              <i n="[productos].[Categoría].&amp;[Bebidas]" c="Bebidas"/>
              <i n="[productos].[Categoría].&amp;[Carnes]" c="Carnes"/>
              <i n="[productos].[Categoría].&amp;[Lácteos]" c="Lácteos"/>
              <i n="[productos].[Categoría].&amp;[Limpieza]" c="Limpieza"/>
            </range>
          </ranges>
        </level>
      </levels>
      <selections count="1">
        <selection n="[productos].[Categoría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_Sucursal" xr10:uid="{DF10056A-8CDD-4B47-AF24-33EF0D111A66}" sourceName="[sucursales].[Nombre Sucursal]">
  <pivotTables>
    <pivotTable tabId="3" name="CategoriaVentas"/>
    <pivotTable tabId="3" name="GeneroCantidad"/>
    <pivotTable tabId="3" name="TipoPagoVenta"/>
  </pivotTables>
  <data>
    <olap pivotCacheId="558178694">
      <levels count="2">
        <level uniqueName="[sucursales].[Nombre Sucursal].[(All)]" sourceCaption="(All)" count="0"/>
        <level uniqueName="[sucursales].[Nombre Sucursal].[Nombre Sucursal]" sourceCaption="Nombre Sucursal" count="3">
          <ranges>
            <range startItem="0">
              <i n="[sucursales].[Nombre Sucursal].&amp;[Centro]" c="Centro"/>
              <i n="[sucursales].[Nombre Sucursal].&amp;[Norte]" c="Norte"/>
              <i n="[sucursales].[Nombre Sucursal].&amp;[Sur]" c="Sur"/>
            </range>
          </ranges>
        </level>
      </levels>
      <selections count="1">
        <selection n="[sucursales].[Nombre Sucursal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rimestre" xr10:uid="{5AB6B174-19F2-4CFD-A313-178E24A10F8E}" cache="SegmentaciónDeDatos_Trimestre" caption="Trimestre" columnCount="4" level="1" style="SlicerStyleDark4" rowHeight="225425"/>
  <slicer name="Categoría" xr10:uid="{80B3608B-86BF-42CE-A673-6A55EC303CE7}" cache="SegmentaciónDeDatos_Categoría" caption="Categoría" level="1" style="SlicerStyleDark4" rowHeight="225425"/>
  <slicer name="Nombre Sucursal" xr10:uid="{B9866DE1-C7CB-4761-90F5-01B4F118557D}" cache="SegmentaciónDeDatos_Nombre_Sucursal" caption="Nombre Sucursal" columnCount="3" level="1" style="SlicerStyleDark4" rowHeight="22542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2762F79-3122-424B-AE6B-502DC0B0A272}" name="calendario" displayName="calendario" ref="A1:F366" tableType="queryTable" totalsRowShown="0">
  <autoFilter ref="A1:F366" xr:uid="{02762F79-3122-424B-AE6B-502DC0B0A272}"/>
  <tableColumns count="6">
    <tableColumn id="1" xr3:uid="{1A84528A-BC9B-4115-AA0A-BCCF23751151}" uniqueName="1" name="Fecha" queryTableFieldId="1" dataDxfId="27"/>
    <tableColumn id="2" xr3:uid="{566F1106-1BA2-41CE-9866-B0ABDC50B3F4}" uniqueName="2" name="Año" queryTableFieldId="2"/>
    <tableColumn id="3" xr3:uid="{3E811E30-431D-4A30-A97C-8F0D2162787F}" uniqueName="3" name="Mes" queryTableFieldId="3" dataDxfId="26"/>
    <tableColumn id="6" xr3:uid="{C577501C-9868-4104-B80D-B6BB2C5294E3}" uniqueName="6" name="Mes Español" queryTableFieldId="6" dataDxfId="25">
      <calculatedColumnFormula array="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calculatedColumnFormula>
    </tableColumn>
    <tableColumn id="4" xr3:uid="{E4B4C241-9242-4554-87B2-F06187CBA77F}" uniqueName="4" name="Trimestre" queryTableFieldId="4"/>
    <tableColumn id="7" xr3:uid="{E2BCBCA7-8AEF-4A3C-B5FE-FDA0836EFDA0}" uniqueName="7" name="Día Semana" queryTableFieldId="7" dataDxf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8FBE7F0-D008-43DC-8462-CC2877A97C2F}" name="clientes" displayName="clientes" ref="A8:D208" tableType="queryTable" totalsRowShown="0">
  <autoFilter ref="A8:D208" xr:uid="{98FBE7F0-D008-43DC-8462-CC2877A97C2F}"/>
  <tableColumns count="4">
    <tableColumn id="5" xr3:uid="{73C62ED0-2B76-417F-8DDC-6F6AED5981C9}" uniqueName="5" name="ID Cliente" queryTableFieldId="5" dataDxfId="23"/>
    <tableColumn id="6" xr3:uid="{5DCBB1D6-4CEE-458A-8EE3-03687332EEE2}" uniqueName="6" name="Nombre Cliente" queryTableFieldId="6" dataDxfId="22"/>
    <tableColumn id="9" xr3:uid="{EAA6F6A0-4D08-4557-BADF-63A0A30371C5}" uniqueName="9" name="Ciudad" queryTableFieldId="9" dataDxfId="21"/>
    <tableColumn id="7" xr3:uid="{E98B452B-3B0B-4017-BEF3-1210D8E6A622}" uniqueName="7" name="Género" queryTableFieldId="7" dataDxfId="2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F76BC1C-C059-48DA-BC25-9A51CFB696B7}" name="ventas" displayName="ventas" ref="A8:J1008" tableType="queryTable" totalsRowShown="0">
  <autoFilter ref="A8:J1008" xr:uid="{BF76BC1C-C059-48DA-BC25-9A51CFB696B7}"/>
  <tableColumns count="10">
    <tableColumn id="1" xr3:uid="{EC2E3968-A475-44A7-BE06-67ED638185AE}" uniqueName="1" name="ID Venta" queryTableFieldId="1" dataDxfId="19"/>
    <tableColumn id="2" xr3:uid="{91A1864B-3469-48ED-A716-E7B6ABA05B5E}" uniqueName="2" name="Fecha" queryTableFieldId="2" dataDxfId="18"/>
    <tableColumn id="3" xr3:uid="{4FA64235-7A7E-42D5-A53F-12274508D559}" uniqueName="3" name="ID Cliente" queryTableFieldId="3" dataDxfId="17"/>
    <tableColumn id="4" xr3:uid="{117D7DD0-43CB-4C96-A0AA-8A3894D0B895}" uniqueName="4" name="ID Producto" queryTableFieldId="4" dataDxfId="16"/>
    <tableColumn id="9" xr3:uid="{76D3CFF8-6B5D-4D5A-BF91-D1F163C894F9}" uniqueName="9" name="Nombre Producto" queryTableFieldId="9" dataDxfId="15">
      <calculatedColumnFormula>VLOOKUP(ventas[[#This Row],[ID Producto]],productos[#All],3,FALSE)</calculatedColumnFormula>
    </tableColumn>
    <tableColumn id="10" xr3:uid="{2F1B3B62-85AA-4BED-8B71-3A97EC04CC47}" uniqueName="10" name="Medio de Pago" queryTableFieldId="10" dataDxfId="14"/>
    <tableColumn id="5" xr3:uid="{4226EAE4-B34D-400F-A66F-7F0EBF6B3A27}" uniqueName="5" name="ID Sucursal" queryTableFieldId="5" dataDxfId="13"/>
    <tableColumn id="6" xr3:uid="{376AA778-EE50-4438-A9E8-28F666E1383D}" uniqueName="6" name="Cantidad" queryTableFieldId="6"/>
    <tableColumn id="7" xr3:uid="{AAC3CF91-35F4-4A0D-863B-A1C174EA70F2}" uniqueName="7" name="Precio Unitario" queryTableFieldId="7"/>
    <tableColumn id="8" xr3:uid="{F8A36D14-6444-4F5C-8CCB-D9596D162D4A}" uniqueName="8" name="Total Venta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BE9F5F5-E0F1-48BC-BE53-E0B2093F5A69}" name="sucursales" displayName="sucursales" ref="A8:C11" tableType="queryTable" totalsRowShown="0">
  <autoFilter ref="A8:C11" xr:uid="{EBE9F5F5-E0F1-48BC-BE53-E0B2093F5A69}"/>
  <tableColumns count="3">
    <tableColumn id="1" xr3:uid="{F3FFA27A-68DE-4686-8ACC-2D004723B927}" uniqueName="1" name="ID Sucursal" queryTableFieldId="1" dataDxfId="12"/>
    <tableColumn id="2" xr3:uid="{F09F2758-C9D8-4D5C-A2E9-0BA7E8BD3B29}" uniqueName="2" name="Nombre Sucursal" queryTableFieldId="2" dataDxfId="11"/>
    <tableColumn id="5" xr3:uid="{822BA8D0-1C8A-4140-9CDD-E3E0F1F5CCB5}" uniqueName="5" name="Ciudad" queryTableFieldId="5" dataDxfId="1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0031F08-B269-4140-8BFB-34574B1FB95C}" name="productos" displayName="productos" ref="A8:D28" tableType="queryTable" totalsRowShown="0">
  <autoFilter ref="A8:D28" xr:uid="{20031F08-B269-4140-8BFB-34574B1FB95C}"/>
  <tableColumns count="4">
    <tableColumn id="1" xr3:uid="{F403BC31-458E-40EE-82DC-14A5F16F83CA}" uniqueName="1" name="ID Producto" queryTableFieldId="1" dataDxfId="9"/>
    <tableColumn id="2" xr3:uid="{908883A9-82A3-4338-B676-E4EA71FAC2DE}" uniqueName="2" name="Nombre Producto" queryTableFieldId="2" dataDxfId="8"/>
    <tableColumn id="3" xr3:uid="{8FA0DAC9-2C74-4B1E-9F57-CFE4DEDD0BA9}" uniqueName="3" name="Categoría" queryTableFieldId="3" dataDxfId="7"/>
    <tableColumn id="4" xr3:uid="{5D07569A-DC65-4986-B935-1024E4DA899A}" uniqueName="4" name="Precio Unitario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6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8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07/relationships/slicer" Target="../slicers/slicer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31:D34"/>
  <sheetViews>
    <sheetView tabSelected="1" workbookViewId="0"/>
  </sheetViews>
  <sheetFormatPr baseColWidth="10" defaultColWidth="12.5703125" defaultRowHeight="15.75" customHeight="1" x14ac:dyDescent="0.2"/>
  <sheetData>
    <row r="31" spans="1:4" ht="15.75" customHeight="1" x14ac:dyDescent="0.2">
      <c r="A31" s="52" t="s">
        <v>1546</v>
      </c>
      <c r="B31" s="53"/>
      <c r="C31" s="53"/>
      <c r="D31" s="53"/>
    </row>
    <row r="32" spans="1:4" ht="15.75" customHeight="1" x14ac:dyDescent="0.2">
      <c r="A32" s="53"/>
      <c r="B32" s="53"/>
      <c r="C32" s="53"/>
      <c r="D32" s="53"/>
    </row>
    <row r="33" spans="1:4" ht="15.75" customHeight="1" x14ac:dyDescent="0.2">
      <c r="A33" s="53"/>
      <c r="B33" s="53"/>
      <c r="C33" s="53"/>
      <c r="D33" s="53"/>
    </row>
    <row r="34" spans="1:4" ht="15.75" customHeight="1" x14ac:dyDescent="0.2">
      <c r="A34" s="53"/>
      <c r="B34" s="53"/>
      <c r="C34" s="53"/>
      <c r="D34" s="53"/>
    </row>
  </sheetData>
  <mergeCells count="1">
    <mergeCell ref="A31:D3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7698C-8AD5-4465-B181-263A201C35E2}">
  <sheetPr codeName="Hoja2"/>
  <dimension ref="A1:F366"/>
  <sheetViews>
    <sheetView workbookViewId="0">
      <selection activeCell="D2" sqref="D2"/>
    </sheetView>
  </sheetViews>
  <sheetFormatPr baseColWidth="10" defaultRowHeight="12.75" x14ac:dyDescent="0.2"/>
  <cols>
    <col min="1" max="1" width="10.140625" bestFit="1" customWidth="1"/>
    <col min="2" max="2" width="6.85546875" bestFit="1" customWidth="1"/>
    <col min="3" max="3" width="10" bestFit="1" customWidth="1"/>
    <col min="4" max="4" width="14.5703125" bestFit="1" customWidth="1"/>
    <col min="5" max="5" width="11.85546875" bestFit="1" customWidth="1"/>
    <col min="6" max="7" width="14.42578125" bestFit="1" customWidth="1"/>
  </cols>
  <sheetData>
    <row r="1" spans="1:6" x14ac:dyDescent="0.2">
      <c r="A1" t="s">
        <v>1</v>
      </c>
      <c r="B1" t="s">
        <v>21</v>
      </c>
      <c r="C1" t="s">
        <v>18</v>
      </c>
      <c r="D1" s="1" t="s">
        <v>1502</v>
      </c>
      <c r="E1" t="s">
        <v>22</v>
      </c>
      <c r="F1" t="s">
        <v>23</v>
      </c>
    </row>
    <row r="2" spans="1:6" x14ac:dyDescent="0.2">
      <c r="A2" s="5">
        <v>44927</v>
      </c>
      <c r="B2">
        <v>2023</v>
      </c>
      <c r="C2" s="3" t="s">
        <v>24</v>
      </c>
      <c r="D2" s="3" t="str" cm="1">
        <f t="array" ref="D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Enero</v>
      </c>
      <c r="E2">
        <v>1</v>
      </c>
      <c r="F2" s="3" t="s">
        <v>25</v>
      </c>
    </row>
    <row r="3" spans="1:6" x14ac:dyDescent="0.2">
      <c r="A3" s="5">
        <v>44928</v>
      </c>
      <c r="B3">
        <v>2023</v>
      </c>
      <c r="C3" s="3" t="s">
        <v>24</v>
      </c>
      <c r="D3" s="3" t="str" cm="1">
        <f t="array" ref="D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Enero</v>
      </c>
      <c r="E3">
        <v>1</v>
      </c>
      <c r="F3" s="3" t="s">
        <v>26</v>
      </c>
    </row>
    <row r="4" spans="1:6" x14ac:dyDescent="0.2">
      <c r="A4" s="5">
        <v>44929</v>
      </c>
      <c r="B4">
        <v>2023</v>
      </c>
      <c r="C4" s="3" t="s">
        <v>24</v>
      </c>
      <c r="D4" s="3" t="str" cm="1">
        <f t="array" ref="D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Enero</v>
      </c>
      <c r="E4">
        <v>1</v>
      </c>
      <c r="F4" s="3" t="s">
        <v>27</v>
      </c>
    </row>
    <row r="5" spans="1:6" x14ac:dyDescent="0.2">
      <c r="A5" s="5">
        <v>44930</v>
      </c>
      <c r="B5">
        <v>2023</v>
      </c>
      <c r="C5" s="3" t="s">
        <v>24</v>
      </c>
      <c r="D5" s="3" t="str" cm="1">
        <f t="array" ref="D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Enero</v>
      </c>
      <c r="E5">
        <v>1</v>
      </c>
      <c r="F5" s="3" t="s">
        <v>28</v>
      </c>
    </row>
    <row r="6" spans="1:6" x14ac:dyDescent="0.2">
      <c r="A6" s="5">
        <v>44931</v>
      </c>
      <c r="B6">
        <v>2023</v>
      </c>
      <c r="C6" s="3" t="s">
        <v>24</v>
      </c>
      <c r="D6" s="3" t="str" cm="1">
        <f t="array" ref="D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Enero</v>
      </c>
      <c r="E6">
        <v>1</v>
      </c>
      <c r="F6" s="3" t="s">
        <v>29</v>
      </c>
    </row>
    <row r="7" spans="1:6" x14ac:dyDescent="0.2">
      <c r="A7" s="5">
        <v>44932</v>
      </c>
      <c r="B7">
        <v>2023</v>
      </c>
      <c r="C7" s="3" t="s">
        <v>24</v>
      </c>
      <c r="D7" s="3" t="str" cm="1">
        <f t="array" ref="D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Enero</v>
      </c>
      <c r="E7">
        <v>1</v>
      </c>
      <c r="F7" s="3" t="s">
        <v>30</v>
      </c>
    </row>
    <row r="8" spans="1:6" x14ac:dyDescent="0.2">
      <c r="A8" s="5">
        <v>44933</v>
      </c>
      <c r="B8">
        <v>2023</v>
      </c>
      <c r="C8" s="3" t="s">
        <v>24</v>
      </c>
      <c r="D8" s="3" t="str" cm="1">
        <f t="array" ref="D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Enero</v>
      </c>
      <c r="E8">
        <v>1</v>
      </c>
      <c r="F8" s="3" t="s">
        <v>31</v>
      </c>
    </row>
    <row r="9" spans="1:6" x14ac:dyDescent="0.2">
      <c r="A9" s="5">
        <v>44934</v>
      </c>
      <c r="B9">
        <v>2023</v>
      </c>
      <c r="C9" s="3" t="s">
        <v>24</v>
      </c>
      <c r="D9" s="3" t="str" cm="1">
        <f t="array" ref="D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Enero</v>
      </c>
      <c r="E9">
        <v>1</v>
      </c>
      <c r="F9" s="3" t="s">
        <v>25</v>
      </c>
    </row>
    <row r="10" spans="1:6" x14ac:dyDescent="0.2">
      <c r="A10" s="5">
        <v>44935</v>
      </c>
      <c r="B10">
        <v>2023</v>
      </c>
      <c r="C10" s="3" t="s">
        <v>24</v>
      </c>
      <c r="D10" s="3" t="str" cm="1">
        <f t="array" ref="D1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Enero</v>
      </c>
      <c r="E10">
        <v>1</v>
      </c>
      <c r="F10" s="3" t="s">
        <v>26</v>
      </c>
    </row>
    <row r="11" spans="1:6" x14ac:dyDescent="0.2">
      <c r="A11" s="5">
        <v>44936</v>
      </c>
      <c r="B11">
        <v>2023</v>
      </c>
      <c r="C11" s="3" t="s">
        <v>24</v>
      </c>
      <c r="D11" s="3" t="str" cm="1">
        <f t="array" ref="D1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Enero</v>
      </c>
      <c r="E11">
        <v>1</v>
      </c>
      <c r="F11" s="3" t="s">
        <v>27</v>
      </c>
    </row>
    <row r="12" spans="1:6" x14ac:dyDescent="0.2">
      <c r="A12" s="5">
        <v>44937</v>
      </c>
      <c r="B12">
        <v>2023</v>
      </c>
      <c r="C12" s="3" t="s">
        <v>24</v>
      </c>
      <c r="D12" s="3" t="str" cm="1">
        <f t="array" ref="D1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Enero</v>
      </c>
      <c r="E12">
        <v>1</v>
      </c>
      <c r="F12" s="3" t="s">
        <v>28</v>
      </c>
    </row>
    <row r="13" spans="1:6" x14ac:dyDescent="0.2">
      <c r="A13" s="5">
        <v>44938</v>
      </c>
      <c r="B13">
        <v>2023</v>
      </c>
      <c r="C13" s="3" t="s">
        <v>24</v>
      </c>
      <c r="D13" s="3" t="str" cm="1">
        <f t="array" ref="D1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Enero</v>
      </c>
      <c r="E13">
        <v>1</v>
      </c>
      <c r="F13" s="3" t="s">
        <v>29</v>
      </c>
    </row>
    <row r="14" spans="1:6" x14ac:dyDescent="0.2">
      <c r="A14" s="5">
        <v>44939</v>
      </c>
      <c r="B14">
        <v>2023</v>
      </c>
      <c r="C14" s="3" t="s">
        <v>24</v>
      </c>
      <c r="D14" s="3" t="str" cm="1">
        <f t="array" ref="D1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Enero</v>
      </c>
      <c r="E14">
        <v>1</v>
      </c>
      <c r="F14" s="3" t="s">
        <v>30</v>
      </c>
    </row>
    <row r="15" spans="1:6" x14ac:dyDescent="0.2">
      <c r="A15" s="5">
        <v>44940</v>
      </c>
      <c r="B15">
        <v>2023</v>
      </c>
      <c r="C15" s="3" t="s">
        <v>24</v>
      </c>
      <c r="D15" s="3" t="str" cm="1">
        <f t="array" ref="D1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Enero</v>
      </c>
      <c r="E15">
        <v>1</v>
      </c>
      <c r="F15" s="3" t="s">
        <v>31</v>
      </c>
    </row>
    <row r="16" spans="1:6" x14ac:dyDescent="0.2">
      <c r="A16" s="5">
        <v>44941</v>
      </c>
      <c r="B16">
        <v>2023</v>
      </c>
      <c r="C16" s="3" t="s">
        <v>24</v>
      </c>
      <c r="D16" s="3" t="str" cm="1">
        <f t="array" ref="D1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Enero</v>
      </c>
      <c r="E16">
        <v>1</v>
      </c>
      <c r="F16" s="3" t="s">
        <v>25</v>
      </c>
    </row>
    <row r="17" spans="1:6" x14ac:dyDescent="0.2">
      <c r="A17" s="5">
        <v>44942</v>
      </c>
      <c r="B17">
        <v>2023</v>
      </c>
      <c r="C17" s="3" t="s">
        <v>24</v>
      </c>
      <c r="D17" s="3" t="str" cm="1">
        <f t="array" ref="D1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Enero</v>
      </c>
      <c r="E17">
        <v>1</v>
      </c>
      <c r="F17" s="3" t="s">
        <v>26</v>
      </c>
    </row>
    <row r="18" spans="1:6" x14ac:dyDescent="0.2">
      <c r="A18" s="5">
        <v>44943</v>
      </c>
      <c r="B18">
        <v>2023</v>
      </c>
      <c r="C18" s="3" t="s">
        <v>24</v>
      </c>
      <c r="D18" s="3" t="str" cm="1">
        <f t="array" ref="D1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Enero</v>
      </c>
      <c r="E18">
        <v>1</v>
      </c>
      <c r="F18" s="3" t="s">
        <v>27</v>
      </c>
    </row>
    <row r="19" spans="1:6" x14ac:dyDescent="0.2">
      <c r="A19" s="5">
        <v>44944</v>
      </c>
      <c r="B19">
        <v>2023</v>
      </c>
      <c r="C19" s="3" t="s">
        <v>24</v>
      </c>
      <c r="D19" s="3" t="str" cm="1">
        <f t="array" ref="D1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Enero</v>
      </c>
      <c r="E19">
        <v>1</v>
      </c>
      <c r="F19" s="3" t="s">
        <v>28</v>
      </c>
    </row>
    <row r="20" spans="1:6" x14ac:dyDescent="0.2">
      <c r="A20" s="5">
        <v>44945</v>
      </c>
      <c r="B20">
        <v>2023</v>
      </c>
      <c r="C20" s="3" t="s">
        <v>24</v>
      </c>
      <c r="D20" s="3" t="str" cm="1">
        <f t="array" ref="D2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Enero</v>
      </c>
      <c r="E20">
        <v>1</v>
      </c>
      <c r="F20" s="3" t="s">
        <v>29</v>
      </c>
    </row>
    <row r="21" spans="1:6" x14ac:dyDescent="0.2">
      <c r="A21" s="5">
        <v>44946</v>
      </c>
      <c r="B21">
        <v>2023</v>
      </c>
      <c r="C21" s="3" t="s">
        <v>24</v>
      </c>
      <c r="D21" s="3" t="str" cm="1">
        <f t="array" ref="D2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Enero</v>
      </c>
      <c r="E21">
        <v>1</v>
      </c>
      <c r="F21" s="3" t="s">
        <v>30</v>
      </c>
    </row>
    <row r="22" spans="1:6" x14ac:dyDescent="0.2">
      <c r="A22" s="5">
        <v>44947</v>
      </c>
      <c r="B22">
        <v>2023</v>
      </c>
      <c r="C22" s="3" t="s">
        <v>24</v>
      </c>
      <c r="D22" s="3" t="str" cm="1">
        <f t="array" ref="D2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Enero</v>
      </c>
      <c r="E22">
        <v>1</v>
      </c>
      <c r="F22" s="3" t="s">
        <v>31</v>
      </c>
    </row>
    <row r="23" spans="1:6" x14ac:dyDescent="0.2">
      <c r="A23" s="5">
        <v>44948</v>
      </c>
      <c r="B23">
        <v>2023</v>
      </c>
      <c r="C23" s="3" t="s">
        <v>24</v>
      </c>
      <c r="D23" s="3" t="str" cm="1">
        <f t="array" ref="D2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Enero</v>
      </c>
      <c r="E23">
        <v>1</v>
      </c>
      <c r="F23" s="3" t="s">
        <v>25</v>
      </c>
    </row>
    <row r="24" spans="1:6" x14ac:dyDescent="0.2">
      <c r="A24" s="5">
        <v>44949</v>
      </c>
      <c r="B24">
        <v>2023</v>
      </c>
      <c r="C24" s="3" t="s">
        <v>24</v>
      </c>
      <c r="D24" s="3" t="str" cm="1">
        <f t="array" ref="D2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Enero</v>
      </c>
      <c r="E24">
        <v>1</v>
      </c>
      <c r="F24" s="3" t="s">
        <v>26</v>
      </c>
    </row>
    <row r="25" spans="1:6" x14ac:dyDescent="0.2">
      <c r="A25" s="5">
        <v>44950</v>
      </c>
      <c r="B25">
        <v>2023</v>
      </c>
      <c r="C25" s="3" t="s">
        <v>24</v>
      </c>
      <c r="D25" s="3" t="str" cm="1">
        <f t="array" ref="D2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Enero</v>
      </c>
      <c r="E25">
        <v>1</v>
      </c>
      <c r="F25" s="3" t="s">
        <v>27</v>
      </c>
    </row>
    <row r="26" spans="1:6" x14ac:dyDescent="0.2">
      <c r="A26" s="5">
        <v>44951</v>
      </c>
      <c r="B26">
        <v>2023</v>
      </c>
      <c r="C26" s="3" t="s">
        <v>24</v>
      </c>
      <c r="D26" s="3" t="str" cm="1">
        <f t="array" ref="D2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Enero</v>
      </c>
      <c r="E26">
        <v>1</v>
      </c>
      <c r="F26" s="3" t="s">
        <v>28</v>
      </c>
    </row>
    <row r="27" spans="1:6" x14ac:dyDescent="0.2">
      <c r="A27" s="5">
        <v>44952</v>
      </c>
      <c r="B27">
        <v>2023</v>
      </c>
      <c r="C27" s="3" t="s">
        <v>24</v>
      </c>
      <c r="D27" s="3" t="str" cm="1">
        <f t="array" ref="D2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Enero</v>
      </c>
      <c r="E27">
        <v>1</v>
      </c>
      <c r="F27" s="3" t="s">
        <v>29</v>
      </c>
    </row>
    <row r="28" spans="1:6" x14ac:dyDescent="0.2">
      <c r="A28" s="5">
        <v>44953</v>
      </c>
      <c r="B28">
        <v>2023</v>
      </c>
      <c r="C28" s="3" t="s">
        <v>24</v>
      </c>
      <c r="D28" s="3" t="str" cm="1">
        <f t="array" ref="D2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Enero</v>
      </c>
      <c r="E28">
        <v>1</v>
      </c>
      <c r="F28" s="3" t="s">
        <v>30</v>
      </c>
    </row>
    <row r="29" spans="1:6" x14ac:dyDescent="0.2">
      <c r="A29" s="5">
        <v>44954</v>
      </c>
      <c r="B29">
        <v>2023</v>
      </c>
      <c r="C29" s="3" t="s">
        <v>24</v>
      </c>
      <c r="D29" s="3" t="str" cm="1">
        <f t="array" ref="D2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Enero</v>
      </c>
      <c r="E29">
        <v>1</v>
      </c>
      <c r="F29" s="3" t="s">
        <v>31</v>
      </c>
    </row>
    <row r="30" spans="1:6" x14ac:dyDescent="0.2">
      <c r="A30" s="5">
        <v>44955</v>
      </c>
      <c r="B30">
        <v>2023</v>
      </c>
      <c r="C30" s="3" t="s">
        <v>24</v>
      </c>
      <c r="D30" s="3" t="str" cm="1">
        <f t="array" ref="D3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Enero</v>
      </c>
      <c r="E30">
        <v>1</v>
      </c>
      <c r="F30" s="3" t="s">
        <v>25</v>
      </c>
    </row>
    <row r="31" spans="1:6" x14ac:dyDescent="0.2">
      <c r="A31" s="5">
        <v>44956</v>
      </c>
      <c r="B31">
        <v>2023</v>
      </c>
      <c r="C31" s="3" t="s">
        <v>24</v>
      </c>
      <c r="D31" s="3" t="str" cm="1">
        <f t="array" ref="D3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Enero</v>
      </c>
      <c r="E31">
        <v>1</v>
      </c>
      <c r="F31" s="3" t="s">
        <v>26</v>
      </c>
    </row>
    <row r="32" spans="1:6" x14ac:dyDescent="0.2">
      <c r="A32" s="5">
        <v>44957</v>
      </c>
      <c r="B32">
        <v>2023</v>
      </c>
      <c r="C32" s="3" t="s">
        <v>24</v>
      </c>
      <c r="D32" s="3" t="str" cm="1">
        <f t="array" ref="D3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Enero</v>
      </c>
      <c r="E32">
        <v>1</v>
      </c>
      <c r="F32" s="3" t="s">
        <v>27</v>
      </c>
    </row>
    <row r="33" spans="1:6" x14ac:dyDescent="0.2">
      <c r="A33" s="5">
        <v>44958</v>
      </c>
      <c r="B33">
        <v>2023</v>
      </c>
      <c r="C33" s="3" t="s">
        <v>32</v>
      </c>
      <c r="D33" s="3" t="str" cm="1">
        <f t="array" ref="D3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Febrero</v>
      </c>
      <c r="E33">
        <v>1</v>
      </c>
      <c r="F33" s="3" t="s">
        <v>28</v>
      </c>
    </row>
    <row r="34" spans="1:6" x14ac:dyDescent="0.2">
      <c r="A34" s="5">
        <v>44959</v>
      </c>
      <c r="B34">
        <v>2023</v>
      </c>
      <c r="C34" s="3" t="s">
        <v>32</v>
      </c>
      <c r="D34" s="3" t="str" cm="1">
        <f t="array" ref="D3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Febrero</v>
      </c>
      <c r="E34">
        <v>1</v>
      </c>
      <c r="F34" s="3" t="s">
        <v>29</v>
      </c>
    </row>
    <row r="35" spans="1:6" x14ac:dyDescent="0.2">
      <c r="A35" s="5">
        <v>44960</v>
      </c>
      <c r="B35">
        <v>2023</v>
      </c>
      <c r="C35" s="3" t="s">
        <v>32</v>
      </c>
      <c r="D35" s="3" t="str" cm="1">
        <f t="array" ref="D3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Febrero</v>
      </c>
      <c r="E35">
        <v>1</v>
      </c>
      <c r="F35" s="3" t="s">
        <v>30</v>
      </c>
    </row>
    <row r="36" spans="1:6" x14ac:dyDescent="0.2">
      <c r="A36" s="5">
        <v>44961</v>
      </c>
      <c r="B36">
        <v>2023</v>
      </c>
      <c r="C36" s="3" t="s">
        <v>32</v>
      </c>
      <c r="D36" s="3" t="str" cm="1">
        <f t="array" ref="D3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Febrero</v>
      </c>
      <c r="E36">
        <v>1</v>
      </c>
      <c r="F36" s="3" t="s">
        <v>31</v>
      </c>
    </row>
    <row r="37" spans="1:6" x14ac:dyDescent="0.2">
      <c r="A37" s="5">
        <v>44962</v>
      </c>
      <c r="B37">
        <v>2023</v>
      </c>
      <c r="C37" s="3" t="s">
        <v>32</v>
      </c>
      <c r="D37" s="3" t="str" cm="1">
        <f t="array" ref="D3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Febrero</v>
      </c>
      <c r="E37">
        <v>1</v>
      </c>
      <c r="F37" s="3" t="s">
        <v>25</v>
      </c>
    </row>
    <row r="38" spans="1:6" x14ac:dyDescent="0.2">
      <c r="A38" s="5">
        <v>44963</v>
      </c>
      <c r="B38">
        <v>2023</v>
      </c>
      <c r="C38" s="3" t="s">
        <v>32</v>
      </c>
      <c r="D38" s="3" t="str" cm="1">
        <f t="array" ref="D3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Febrero</v>
      </c>
      <c r="E38">
        <v>1</v>
      </c>
      <c r="F38" s="3" t="s">
        <v>26</v>
      </c>
    </row>
    <row r="39" spans="1:6" x14ac:dyDescent="0.2">
      <c r="A39" s="5">
        <v>44964</v>
      </c>
      <c r="B39">
        <v>2023</v>
      </c>
      <c r="C39" s="3" t="s">
        <v>32</v>
      </c>
      <c r="D39" s="3" t="str" cm="1">
        <f t="array" ref="D3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Febrero</v>
      </c>
      <c r="E39">
        <v>1</v>
      </c>
      <c r="F39" s="3" t="s">
        <v>27</v>
      </c>
    </row>
    <row r="40" spans="1:6" x14ac:dyDescent="0.2">
      <c r="A40" s="5">
        <v>44965</v>
      </c>
      <c r="B40">
        <v>2023</v>
      </c>
      <c r="C40" s="3" t="s">
        <v>32</v>
      </c>
      <c r="D40" s="3" t="str" cm="1">
        <f t="array" ref="D4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Febrero</v>
      </c>
      <c r="E40">
        <v>1</v>
      </c>
      <c r="F40" s="3" t="s">
        <v>28</v>
      </c>
    </row>
    <row r="41" spans="1:6" x14ac:dyDescent="0.2">
      <c r="A41" s="5">
        <v>44966</v>
      </c>
      <c r="B41">
        <v>2023</v>
      </c>
      <c r="C41" s="3" t="s">
        <v>32</v>
      </c>
      <c r="D41" s="3" t="str" cm="1">
        <f t="array" ref="D4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Febrero</v>
      </c>
      <c r="E41">
        <v>1</v>
      </c>
      <c r="F41" s="3" t="s">
        <v>29</v>
      </c>
    </row>
    <row r="42" spans="1:6" x14ac:dyDescent="0.2">
      <c r="A42" s="5">
        <v>44967</v>
      </c>
      <c r="B42">
        <v>2023</v>
      </c>
      <c r="C42" s="3" t="s">
        <v>32</v>
      </c>
      <c r="D42" s="3" t="str" cm="1">
        <f t="array" ref="D4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Febrero</v>
      </c>
      <c r="E42">
        <v>1</v>
      </c>
      <c r="F42" s="3" t="s">
        <v>30</v>
      </c>
    </row>
    <row r="43" spans="1:6" x14ac:dyDescent="0.2">
      <c r="A43" s="5">
        <v>44968</v>
      </c>
      <c r="B43">
        <v>2023</v>
      </c>
      <c r="C43" s="3" t="s">
        <v>32</v>
      </c>
      <c r="D43" s="3" t="str" cm="1">
        <f t="array" ref="D4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Febrero</v>
      </c>
      <c r="E43">
        <v>1</v>
      </c>
      <c r="F43" s="3" t="s">
        <v>31</v>
      </c>
    </row>
    <row r="44" spans="1:6" x14ac:dyDescent="0.2">
      <c r="A44" s="5">
        <v>44969</v>
      </c>
      <c r="B44">
        <v>2023</v>
      </c>
      <c r="C44" s="3" t="s">
        <v>32</v>
      </c>
      <c r="D44" s="3" t="str" cm="1">
        <f t="array" ref="D4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Febrero</v>
      </c>
      <c r="E44">
        <v>1</v>
      </c>
      <c r="F44" s="3" t="s">
        <v>25</v>
      </c>
    </row>
    <row r="45" spans="1:6" x14ac:dyDescent="0.2">
      <c r="A45" s="5">
        <v>44970</v>
      </c>
      <c r="B45">
        <v>2023</v>
      </c>
      <c r="C45" s="3" t="s">
        <v>32</v>
      </c>
      <c r="D45" s="3" t="str" cm="1">
        <f t="array" ref="D4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Febrero</v>
      </c>
      <c r="E45">
        <v>1</v>
      </c>
      <c r="F45" s="3" t="s">
        <v>26</v>
      </c>
    </row>
    <row r="46" spans="1:6" x14ac:dyDescent="0.2">
      <c r="A46" s="5">
        <v>44971</v>
      </c>
      <c r="B46">
        <v>2023</v>
      </c>
      <c r="C46" s="3" t="s">
        <v>32</v>
      </c>
      <c r="D46" s="3" t="str" cm="1">
        <f t="array" ref="D4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Febrero</v>
      </c>
      <c r="E46">
        <v>1</v>
      </c>
      <c r="F46" s="3" t="s">
        <v>27</v>
      </c>
    </row>
    <row r="47" spans="1:6" x14ac:dyDescent="0.2">
      <c r="A47" s="5">
        <v>44972</v>
      </c>
      <c r="B47">
        <v>2023</v>
      </c>
      <c r="C47" s="3" t="s">
        <v>32</v>
      </c>
      <c r="D47" s="3" t="str" cm="1">
        <f t="array" ref="D4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Febrero</v>
      </c>
      <c r="E47">
        <v>1</v>
      </c>
      <c r="F47" s="3" t="s">
        <v>28</v>
      </c>
    </row>
    <row r="48" spans="1:6" x14ac:dyDescent="0.2">
      <c r="A48" s="5">
        <v>44973</v>
      </c>
      <c r="B48">
        <v>2023</v>
      </c>
      <c r="C48" s="3" t="s">
        <v>32</v>
      </c>
      <c r="D48" s="3" t="str" cm="1">
        <f t="array" ref="D4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Febrero</v>
      </c>
      <c r="E48">
        <v>1</v>
      </c>
      <c r="F48" s="3" t="s">
        <v>29</v>
      </c>
    </row>
    <row r="49" spans="1:6" x14ac:dyDescent="0.2">
      <c r="A49" s="5">
        <v>44974</v>
      </c>
      <c r="B49">
        <v>2023</v>
      </c>
      <c r="C49" s="3" t="s">
        <v>32</v>
      </c>
      <c r="D49" s="3" t="str" cm="1">
        <f t="array" ref="D4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Febrero</v>
      </c>
      <c r="E49">
        <v>1</v>
      </c>
      <c r="F49" s="3" t="s">
        <v>30</v>
      </c>
    </row>
    <row r="50" spans="1:6" x14ac:dyDescent="0.2">
      <c r="A50" s="5">
        <v>44975</v>
      </c>
      <c r="B50">
        <v>2023</v>
      </c>
      <c r="C50" s="3" t="s">
        <v>32</v>
      </c>
      <c r="D50" s="3" t="str" cm="1">
        <f t="array" ref="D5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Febrero</v>
      </c>
      <c r="E50">
        <v>1</v>
      </c>
      <c r="F50" s="3" t="s">
        <v>31</v>
      </c>
    </row>
    <row r="51" spans="1:6" x14ac:dyDescent="0.2">
      <c r="A51" s="5">
        <v>44976</v>
      </c>
      <c r="B51">
        <v>2023</v>
      </c>
      <c r="C51" s="3" t="s">
        <v>32</v>
      </c>
      <c r="D51" s="3" t="str" cm="1">
        <f t="array" ref="D5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Febrero</v>
      </c>
      <c r="E51">
        <v>1</v>
      </c>
      <c r="F51" s="3" t="s">
        <v>25</v>
      </c>
    </row>
    <row r="52" spans="1:6" x14ac:dyDescent="0.2">
      <c r="A52" s="5">
        <v>44977</v>
      </c>
      <c r="B52">
        <v>2023</v>
      </c>
      <c r="C52" s="3" t="s">
        <v>32</v>
      </c>
      <c r="D52" s="3" t="str" cm="1">
        <f t="array" ref="D5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Febrero</v>
      </c>
      <c r="E52">
        <v>1</v>
      </c>
      <c r="F52" s="3" t="s">
        <v>26</v>
      </c>
    </row>
    <row r="53" spans="1:6" x14ac:dyDescent="0.2">
      <c r="A53" s="5">
        <v>44978</v>
      </c>
      <c r="B53">
        <v>2023</v>
      </c>
      <c r="C53" s="3" t="s">
        <v>32</v>
      </c>
      <c r="D53" s="3" t="str" cm="1">
        <f t="array" ref="D5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Febrero</v>
      </c>
      <c r="E53">
        <v>1</v>
      </c>
      <c r="F53" s="3" t="s">
        <v>27</v>
      </c>
    </row>
    <row r="54" spans="1:6" x14ac:dyDescent="0.2">
      <c r="A54" s="5">
        <v>44979</v>
      </c>
      <c r="B54">
        <v>2023</v>
      </c>
      <c r="C54" s="3" t="s">
        <v>32</v>
      </c>
      <c r="D54" s="3" t="str" cm="1">
        <f t="array" ref="D5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Febrero</v>
      </c>
      <c r="E54">
        <v>1</v>
      </c>
      <c r="F54" s="3" t="s">
        <v>28</v>
      </c>
    </row>
    <row r="55" spans="1:6" x14ac:dyDescent="0.2">
      <c r="A55" s="5">
        <v>44980</v>
      </c>
      <c r="B55">
        <v>2023</v>
      </c>
      <c r="C55" s="3" t="s">
        <v>32</v>
      </c>
      <c r="D55" s="3" t="str" cm="1">
        <f t="array" ref="D5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Febrero</v>
      </c>
      <c r="E55">
        <v>1</v>
      </c>
      <c r="F55" s="3" t="s">
        <v>29</v>
      </c>
    </row>
    <row r="56" spans="1:6" x14ac:dyDescent="0.2">
      <c r="A56" s="5">
        <v>44981</v>
      </c>
      <c r="B56">
        <v>2023</v>
      </c>
      <c r="C56" s="3" t="s">
        <v>32</v>
      </c>
      <c r="D56" s="3" t="str" cm="1">
        <f t="array" ref="D5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Febrero</v>
      </c>
      <c r="E56">
        <v>1</v>
      </c>
      <c r="F56" s="3" t="s">
        <v>30</v>
      </c>
    </row>
    <row r="57" spans="1:6" x14ac:dyDescent="0.2">
      <c r="A57" s="5">
        <v>44982</v>
      </c>
      <c r="B57">
        <v>2023</v>
      </c>
      <c r="C57" s="3" t="s">
        <v>32</v>
      </c>
      <c r="D57" s="3" t="str" cm="1">
        <f t="array" ref="D5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Febrero</v>
      </c>
      <c r="E57">
        <v>1</v>
      </c>
      <c r="F57" s="3" t="s">
        <v>31</v>
      </c>
    </row>
    <row r="58" spans="1:6" x14ac:dyDescent="0.2">
      <c r="A58" s="5">
        <v>44983</v>
      </c>
      <c r="B58">
        <v>2023</v>
      </c>
      <c r="C58" s="3" t="s">
        <v>32</v>
      </c>
      <c r="D58" s="3" t="str" cm="1">
        <f t="array" ref="D5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Febrero</v>
      </c>
      <c r="E58">
        <v>1</v>
      </c>
      <c r="F58" s="3" t="s">
        <v>25</v>
      </c>
    </row>
    <row r="59" spans="1:6" x14ac:dyDescent="0.2">
      <c r="A59" s="5">
        <v>44984</v>
      </c>
      <c r="B59">
        <v>2023</v>
      </c>
      <c r="C59" s="3" t="s">
        <v>32</v>
      </c>
      <c r="D59" s="3" t="str" cm="1">
        <f t="array" ref="D5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Febrero</v>
      </c>
      <c r="E59">
        <v>1</v>
      </c>
      <c r="F59" s="3" t="s">
        <v>26</v>
      </c>
    </row>
    <row r="60" spans="1:6" x14ac:dyDescent="0.2">
      <c r="A60" s="5">
        <v>44985</v>
      </c>
      <c r="B60">
        <v>2023</v>
      </c>
      <c r="C60" s="3" t="s">
        <v>32</v>
      </c>
      <c r="D60" s="3" t="str" cm="1">
        <f t="array" ref="D6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Febrero</v>
      </c>
      <c r="E60">
        <v>1</v>
      </c>
      <c r="F60" s="3" t="s">
        <v>27</v>
      </c>
    </row>
    <row r="61" spans="1:6" x14ac:dyDescent="0.2">
      <c r="A61" s="5">
        <v>44986</v>
      </c>
      <c r="B61">
        <v>2023</v>
      </c>
      <c r="C61" s="3" t="s">
        <v>33</v>
      </c>
      <c r="D61" s="3" t="str" cm="1">
        <f t="array" ref="D6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Marzo</v>
      </c>
      <c r="E61">
        <v>1</v>
      </c>
      <c r="F61" s="3" t="s">
        <v>28</v>
      </c>
    </row>
    <row r="62" spans="1:6" x14ac:dyDescent="0.2">
      <c r="A62" s="5">
        <v>44987</v>
      </c>
      <c r="B62">
        <v>2023</v>
      </c>
      <c r="C62" s="3" t="s">
        <v>33</v>
      </c>
      <c r="D62" s="3" t="str" cm="1">
        <f t="array" ref="D6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Marzo</v>
      </c>
      <c r="E62">
        <v>1</v>
      </c>
      <c r="F62" s="3" t="s">
        <v>29</v>
      </c>
    </row>
    <row r="63" spans="1:6" x14ac:dyDescent="0.2">
      <c r="A63" s="5">
        <v>44988</v>
      </c>
      <c r="B63">
        <v>2023</v>
      </c>
      <c r="C63" s="3" t="s">
        <v>33</v>
      </c>
      <c r="D63" s="3" t="str" cm="1">
        <f t="array" ref="D6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Marzo</v>
      </c>
      <c r="E63">
        <v>1</v>
      </c>
      <c r="F63" s="3" t="s">
        <v>30</v>
      </c>
    </row>
    <row r="64" spans="1:6" x14ac:dyDescent="0.2">
      <c r="A64" s="5">
        <v>44989</v>
      </c>
      <c r="B64">
        <v>2023</v>
      </c>
      <c r="C64" s="3" t="s">
        <v>33</v>
      </c>
      <c r="D64" s="3" t="str" cm="1">
        <f t="array" ref="D6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Marzo</v>
      </c>
      <c r="E64">
        <v>1</v>
      </c>
      <c r="F64" s="3" t="s">
        <v>31</v>
      </c>
    </row>
    <row r="65" spans="1:6" x14ac:dyDescent="0.2">
      <c r="A65" s="5">
        <v>44990</v>
      </c>
      <c r="B65">
        <v>2023</v>
      </c>
      <c r="C65" s="3" t="s">
        <v>33</v>
      </c>
      <c r="D65" s="3" t="str" cm="1">
        <f t="array" ref="D6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Marzo</v>
      </c>
      <c r="E65">
        <v>1</v>
      </c>
      <c r="F65" s="3" t="s">
        <v>25</v>
      </c>
    </row>
    <row r="66" spans="1:6" x14ac:dyDescent="0.2">
      <c r="A66" s="5">
        <v>44991</v>
      </c>
      <c r="B66">
        <v>2023</v>
      </c>
      <c r="C66" s="3" t="s">
        <v>33</v>
      </c>
      <c r="D66" s="3" t="str" cm="1">
        <f t="array" ref="D6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Marzo</v>
      </c>
      <c r="E66">
        <v>1</v>
      </c>
      <c r="F66" s="3" t="s">
        <v>26</v>
      </c>
    </row>
    <row r="67" spans="1:6" x14ac:dyDescent="0.2">
      <c r="A67" s="5">
        <v>44992</v>
      </c>
      <c r="B67">
        <v>2023</v>
      </c>
      <c r="C67" s="3" t="s">
        <v>33</v>
      </c>
      <c r="D67" s="3" t="str" cm="1">
        <f t="array" ref="D6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Marzo</v>
      </c>
      <c r="E67">
        <v>1</v>
      </c>
      <c r="F67" s="3" t="s">
        <v>27</v>
      </c>
    </row>
    <row r="68" spans="1:6" x14ac:dyDescent="0.2">
      <c r="A68" s="5">
        <v>44993</v>
      </c>
      <c r="B68">
        <v>2023</v>
      </c>
      <c r="C68" s="3" t="s">
        <v>33</v>
      </c>
      <c r="D68" s="3" t="str" cm="1">
        <f t="array" ref="D6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Marzo</v>
      </c>
      <c r="E68">
        <v>1</v>
      </c>
      <c r="F68" s="3" t="s">
        <v>28</v>
      </c>
    </row>
    <row r="69" spans="1:6" x14ac:dyDescent="0.2">
      <c r="A69" s="5">
        <v>44994</v>
      </c>
      <c r="B69">
        <v>2023</v>
      </c>
      <c r="C69" s="3" t="s">
        <v>33</v>
      </c>
      <c r="D69" s="3" t="str" cm="1">
        <f t="array" ref="D6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Marzo</v>
      </c>
      <c r="E69">
        <v>1</v>
      </c>
      <c r="F69" s="3" t="s">
        <v>29</v>
      </c>
    </row>
    <row r="70" spans="1:6" x14ac:dyDescent="0.2">
      <c r="A70" s="5">
        <v>44995</v>
      </c>
      <c r="B70">
        <v>2023</v>
      </c>
      <c r="C70" s="3" t="s">
        <v>33</v>
      </c>
      <c r="D70" s="3" t="str" cm="1">
        <f t="array" ref="D7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Marzo</v>
      </c>
      <c r="E70">
        <v>1</v>
      </c>
      <c r="F70" s="3" t="s">
        <v>30</v>
      </c>
    </row>
    <row r="71" spans="1:6" x14ac:dyDescent="0.2">
      <c r="A71" s="5">
        <v>44996</v>
      </c>
      <c r="B71">
        <v>2023</v>
      </c>
      <c r="C71" s="3" t="s">
        <v>33</v>
      </c>
      <c r="D71" s="3" t="str" cm="1">
        <f t="array" ref="D7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Marzo</v>
      </c>
      <c r="E71">
        <v>1</v>
      </c>
      <c r="F71" s="3" t="s">
        <v>31</v>
      </c>
    </row>
    <row r="72" spans="1:6" x14ac:dyDescent="0.2">
      <c r="A72" s="5">
        <v>44997</v>
      </c>
      <c r="B72">
        <v>2023</v>
      </c>
      <c r="C72" s="3" t="s">
        <v>33</v>
      </c>
      <c r="D72" s="3" t="str" cm="1">
        <f t="array" ref="D7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Marzo</v>
      </c>
      <c r="E72">
        <v>1</v>
      </c>
      <c r="F72" s="3" t="s">
        <v>25</v>
      </c>
    </row>
    <row r="73" spans="1:6" x14ac:dyDescent="0.2">
      <c r="A73" s="5">
        <v>44998</v>
      </c>
      <c r="B73">
        <v>2023</v>
      </c>
      <c r="C73" s="3" t="s">
        <v>33</v>
      </c>
      <c r="D73" s="3" t="str" cm="1">
        <f t="array" ref="D7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Marzo</v>
      </c>
      <c r="E73">
        <v>1</v>
      </c>
      <c r="F73" s="3" t="s">
        <v>26</v>
      </c>
    </row>
    <row r="74" spans="1:6" x14ac:dyDescent="0.2">
      <c r="A74" s="5">
        <v>44999</v>
      </c>
      <c r="B74">
        <v>2023</v>
      </c>
      <c r="C74" s="3" t="s">
        <v>33</v>
      </c>
      <c r="D74" s="3" t="str" cm="1">
        <f t="array" ref="D7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Marzo</v>
      </c>
      <c r="E74">
        <v>1</v>
      </c>
      <c r="F74" s="3" t="s">
        <v>27</v>
      </c>
    </row>
    <row r="75" spans="1:6" x14ac:dyDescent="0.2">
      <c r="A75" s="5">
        <v>45000</v>
      </c>
      <c r="B75">
        <v>2023</v>
      </c>
      <c r="C75" s="3" t="s">
        <v>33</v>
      </c>
      <c r="D75" s="3" t="str" cm="1">
        <f t="array" ref="D7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Marzo</v>
      </c>
      <c r="E75">
        <v>1</v>
      </c>
      <c r="F75" s="3" t="s">
        <v>28</v>
      </c>
    </row>
    <row r="76" spans="1:6" x14ac:dyDescent="0.2">
      <c r="A76" s="5">
        <v>45001</v>
      </c>
      <c r="B76">
        <v>2023</v>
      </c>
      <c r="C76" s="3" t="s">
        <v>33</v>
      </c>
      <c r="D76" s="3" t="str" cm="1">
        <f t="array" ref="D7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Marzo</v>
      </c>
      <c r="E76">
        <v>1</v>
      </c>
      <c r="F76" s="3" t="s">
        <v>29</v>
      </c>
    </row>
    <row r="77" spans="1:6" x14ac:dyDescent="0.2">
      <c r="A77" s="5">
        <v>45002</v>
      </c>
      <c r="B77">
        <v>2023</v>
      </c>
      <c r="C77" s="3" t="s">
        <v>33</v>
      </c>
      <c r="D77" s="3" t="str" cm="1">
        <f t="array" ref="D7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Marzo</v>
      </c>
      <c r="E77">
        <v>1</v>
      </c>
      <c r="F77" s="3" t="s">
        <v>30</v>
      </c>
    </row>
    <row r="78" spans="1:6" x14ac:dyDescent="0.2">
      <c r="A78" s="5">
        <v>45003</v>
      </c>
      <c r="B78">
        <v>2023</v>
      </c>
      <c r="C78" s="3" t="s">
        <v>33</v>
      </c>
      <c r="D78" s="3" t="str" cm="1">
        <f t="array" ref="D7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Marzo</v>
      </c>
      <c r="E78">
        <v>1</v>
      </c>
      <c r="F78" s="3" t="s">
        <v>31</v>
      </c>
    </row>
    <row r="79" spans="1:6" x14ac:dyDescent="0.2">
      <c r="A79" s="5">
        <v>45004</v>
      </c>
      <c r="B79">
        <v>2023</v>
      </c>
      <c r="C79" s="3" t="s">
        <v>33</v>
      </c>
      <c r="D79" s="3" t="str" cm="1">
        <f t="array" ref="D7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Marzo</v>
      </c>
      <c r="E79">
        <v>1</v>
      </c>
      <c r="F79" s="3" t="s">
        <v>25</v>
      </c>
    </row>
    <row r="80" spans="1:6" x14ac:dyDescent="0.2">
      <c r="A80" s="5">
        <v>45005</v>
      </c>
      <c r="B80">
        <v>2023</v>
      </c>
      <c r="C80" s="3" t="s">
        <v>33</v>
      </c>
      <c r="D80" s="3" t="str" cm="1">
        <f t="array" ref="D8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Marzo</v>
      </c>
      <c r="E80">
        <v>1</v>
      </c>
      <c r="F80" s="3" t="s">
        <v>26</v>
      </c>
    </row>
    <row r="81" spans="1:6" x14ac:dyDescent="0.2">
      <c r="A81" s="5">
        <v>45006</v>
      </c>
      <c r="B81">
        <v>2023</v>
      </c>
      <c r="C81" s="3" t="s">
        <v>33</v>
      </c>
      <c r="D81" s="3" t="str" cm="1">
        <f t="array" ref="D8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Marzo</v>
      </c>
      <c r="E81">
        <v>1</v>
      </c>
      <c r="F81" s="3" t="s">
        <v>27</v>
      </c>
    </row>
    <row r="82" spans="1:6" x14ac:dyDescent="0.2">
      <c r="A82" s="5">
        <v>45007</v>
      </c>
      <c r="B82">
        <v>2023</v>
      </c>
      <c r="C82" s="3" t="s">
        <v>33</v>
      </c>
      <c r="D82" s="3" t="str" cm="1">
        <f t="array" ref="D8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Marzo</v>
      </c>
      <c r="E82">
        <v>1</v>
      </c>
      <c r="F82" s="3" t="s">
        <v>28</v>
      </c>
    </row>
    <row r="83" spans="1:6" x14ac:dyDescent="0.2">
      <c r="A83" s="5">
        <v>45008</v>
      </c>
      <c r="B83">
        <v>2023</v>
      </c>
      <c r="C83" s="3" t="s">
        <v>33</v>
      </c>
      <c r="D83" s="3" t="str" cm="1">
        <f t="array" ref="D8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Marzo</v>
      </c>
      <c r="E83">
        <v>1</v>
      </c>
      <c r="F83" s="3" t="s">
        <v>29</v>
      </c>
    </row>
    <row r="84" spans="1:6" x14ac:dyDescent="0.2">
      <c r="A84" s="5">
        <v>45009</v>
      </c>
      <c r="B84">
        <v>2023</v>
      </c>
      <c r="C84" s="3" t="s">
        <v>33</v>
      </c>
      <c r="D84" s="3" t="str" cm="1">
        <f t="array" ref="D8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Marzo</v>
      </c>
      <c r="E84">
        <v>1</v>
      </c>
      <c r="F84" s="3" t="s">
        <v>30</v>
      </c>
    </row>
    <row r="85" spans="1:6" x14ac:dyDescent="0.2">
      <c r="A85" s="5">
        <v>45010</v>
      </c>
      <c r="B85">
        <v>2023</v>
      </c>
      <c r="C85" s="3" t="s">
        <v>33</v>
      </c>
      <c r="D85" s="3" t="str" cm="1">
        <f t="array" ref="D8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Marzo</v>
      </c>
      <c r="E85">
        <v>1</v>
      </c>
      <c r="F85" s="3" t="s">
        <v>31</v>
      </c>
    </row>
    <row r="86" spans="1:6" x14ac:dyDescent="0.2">
      <c r="A86" s="5">
        <v>45011</v>
      </c>
      <c r="B86">
        <v>2023</v>
      </c>
      <c r="C86" s="3" t="s">
        <v>33</v>
      </c>
      <c r="D86" s="3" t="str" cm="1">
        <f t="array" ref="D8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Marzo</v>
      </c>
      <c r="E86">
        <v>1</v>
      </c>
      <c r="F86" s="3" t="s">
        <v>25</v>
      </c>
    </row>
    <row r="87" spans="1:6" x14ac:dyDescent="0.2">
      <c r="A87" s="5">
        <v>45012</v>
      </c>
      <c r="B87">
        <v>2023</v>
      </c>
      <c r="C87" s="3" t="s">
        <v>33</v>
      </c>
      <c r="D87" s="3" t="str" cm="1">
        <f t="array" ref="D8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Marzo</v>
      </c>
      <c r="E87">
        <v>1</v>
      </c>
      <c r="F87" s="3" t="s">
        <v>26</v>
      </c>
    </row>
    <row r="88" spans="1:6" x14ac:dyDescent="0.2">
      <c r="A88" s="5">
        <v>45013</v>
      </c>
      <c r="B88">
        <v>2023</v>
      </c>
      <c r="C88" s="3" t="s">
        <v>33</v>
      </c>
      <c r="D88" s="3" t="str" cm="1">
        <f t="array" ref="D8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Marzo</v>
      </c>
      <c r="E88">
        <v>1</v>
      </c>
      <c r="F88" s="3" t="s">
        <v>27</v>
      </c>
    </row>
    <row r="89" spans="1:6" x14ac:dyDescent="0.2">
      <c r="A89" s="5">
        <v>45014</v>
      </c>
      <c r="B89">
        <v>2023</v>
      </c>
      <c r="C89" s="3" t="s">
        <v>33</v>
      </c>
      <c r="D89" s="3" t="str" cm="1">
        <f t="array" ref="D8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Marzo</v>
      </c>
      <c r="E89">
        <v>1</v>
      </c>
      <c r="F89" s="3" t="s">
        <v>28</v>
      </c>
    </row>
    <row r="90" spans="1:6" x14ac:dyDescent="0.2">
      <c r="A90" s="5">
        <v>45015</v>
      </c>
      <c r="B90">
        <v>2023</v>
      </c>
      <c r="C90" s="3" t="s">
        <v>33</v>
      </c>
      <c r="D90" s="3" t="str" cm="1">
        <f t="array" ref="D9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Marzo</v>
      </c>
      <c r="E90">
        <v>1</v>
      </c>
      <c r="F90" s="3" t="s">
        <v>29</v>
      </c>
    </row>
    <row r="91" spans="1:6" x14ac:dyDescent="0.2">
      <c r="A91" s="5">
        <v>45016</v>
      </c>
      <c r="B91">
        <v>2023</v>
      </c>
      <c r="C91" s="3" t="s">
        <v>33</v>
      </c>
      <c r="D91" s="3" t="str" cm="1">
        <f t="array" ref="D9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Marzo</v>
      </c>
      <c r="E91">
        <v>1</v>
      </c>
      <c r="F91" s="3" t="s">
        <v>30</v>
      </c>
    </row>
    <row r="92" spans="1:6" x14ac:dyDescent="0.2">
      <c r="A92" s="5">
        <v>45017</v>
      </c>
      <c r="B92">
        <v>2023</v>
      </c>
      <c r="C92" s="3" t="s">
        <v>34</v>
      </c>
      <c r="D92" s="3" t="str" cm="1">
        <f t="array" ref="D9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Abril</v>
      </c>
      <c r="E92">
        <v>2</v>
      </c>
      <c r="F92" s="3" t="s">
        <v>31</v>
      </c>
    </row>
    <row r="93" spans="1:6" x14ac:dyDescent="0.2">
      <c r="A93" s="5">
        <v>45018</v>
      </c>
      <c r="B93">
        <v>2023</v>
      </c>
      <c r="C93" s="3" t="s">
        <v>34</v>
      </c>
      <c r="D93" s="3" t="str" cm="1">
        <f t="array" ref="D9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Abril</v>
      </c>
      <c r="E93">
        <v>2</v>
      </c>
      <c r="F93" s="3" t="s">
        <v>25</v>
      </c>
    </row>
    <row r="94" spans="1:6" x14ac:dyDescent="0.2">
      <c r="A94" s="5">
        <v>45019</v>
      </c>
      <c r="B94">
        <v>2023</v>
      </c>
      <c r="C94" s="3" t="s">
        <v>34</v>
      </c>
      <c r="D94" s="3" t="str" cm="1">
        <f t="array" ref="D9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Abril</v>
      </c>
      <c r="E94">
        <v>2</v>
      </c>
      <c r="F94" s="3" t="s">
        <v>26</v>
      </c>
    </row>
    <row r="95" spans="1:6" x14ac:dyDescent="0.2">
      <c r="A95" s="5">
        <v>45020</v>
      </c>
      <c r="B95">
        <v>2023</v>
      </c>
      <c r="C95" s="3" t="s">
        <v>34</v>
      </c>
      <c r="D95" s="3" t="str" cm="1">
        <f t="array" ref="D9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Abril</v>
      </c>
      <c r="E95">
        <v>2</v>
      </c>
      <c r="F95" s="3" t="s">
        <v>27</v>
      </c>
    </row>
    <row r="96" spans="1:6" x14ac:dyDescent="0.2">
      <c r="A96" s="5">
        <v>45021</v>
      </c>
      <c r="B96">
        <v>2023</v>
      </c>
      <c r="C96" s="3" t="s">
        <v>34</v>
      </c>
      <c r="D96" s="3" t="str" cm="1">
        <f t="array" ref="D9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Abril</v>
      </c>
      <c r="E96">
        <v>2</v>
      </c>
      <c r="F96" s="3" t="s">
        <v>28</v>
      </c>
    </row>
    <row r="97" spans="1:6" x14ac:dyDescent="0.2">
      <c r="A97" s="5">
        <v>45022</v>
      </c>
      <c r="B97">
        <v>2023</v>
      </c>
      <c r="C97" s="3" t="s">
        <v>34</v>
      </c>
      <c r="D97" s="3" t="str" cm="1">
        <f t="array" ref="D9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Abril</v>
      </c>
      <c r="E97">
        <v>2</v>
      </c>
      <c r="F97" s="3" t="s">
        <v>29</v>
      </c>
    </row>
    <row r="98" spans="1:6" x14ac:dyDescent="0.2">
      <c r="A98" s="5">
        <v>45023</v>
      </c>
      <c r="B98">
        <v>2023</v>
      </c>
      <c r="C98" s="3" t="s">
        <v>34</v>
      </c>
      <c r="D98" s="3" t="str" cm="1">
        <f t="array" ref="D9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Abril</v>
      </c>
      <c r="E98">
        <v>2</v>
      </c>
      <c r="F98" s="3" t="s">
        <v>30</v>
      </c>
    </row>
    <row r="99" spans="1:6" x14ac:dyDescent="0.2">
      <c r="A99" s="5">
        <v>45024</v>
      </c>
      <c r="B99">
        <v>2023</v>
      </c>
      <c r="C99" s="3" t="s">
        <v>34</v>
      </c>
      <c r="D99" s="3" t="str" cm="1">
        <f t="array" ref="D9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Abril</v>
      </c>
      <c r="E99">
        <v>2</v>
      </c>
      <c r="F99" s="3" t="s">
        <v>31</v>
      </c>
    </row>
    <row r="100" spans="1:6" x14ac:dyDescent="0.2">
      <c r="A100" s="5">
        <v>45025</v>
      </c>
      <c r="B100">
        <v>2023</v>
      </c>
      <c r="C100" s="3" t="s">
        <v>34</v>
      </c>
      <c r="D100" s="3" t="str" cm="1">
        <f t="array" ref="D10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Abril</v>
      </c>
      <c r="E100">
        <v>2</v>
      </c>
      <c r="F100" s="3" t="s">
        <v>25</v>
      </c>
    </row>
    <row r="101" spans="1:6" x14ac:dyDescent="0.2">
      <c r="A101" s="5">
        <v>45026</v>
      </c>
      <c r="B101">
        <v>2023</v>
      </c>
      <c r="C101" s="3" t="s">
        <v>34</v>
      </c>
      <c r="D101" s="3" t="str" cm="1">
        <f t="array" ref="D10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Abril</v>
      </c>
      <c r="E101">
        <v>2</v>
      </c>
      <c r="F101" s="3" t="s">
        <v>26</v>
      </c>
    </row>
    <row r="102" spans="1:6" x14ac:dyDescent="0.2">
      <c r="A102" s="5">
        <v>45027</v>
      </c>
      <c r="B102">
        <v>2023</v>
      </c>
      <c r="C102" s="3" t="s">
        <v>34</v>
      </c>
      <c r="D102" s="3" t="str" cm="1">
        <f t="array" ref="D10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Abril</v>
      </c>
      <c r="E102">
        <v>2</v>
      </c>
      <c r="F102" s="3" t="s">
        <v>27</v>
      </c>
    </row>
    <row r="103" spans="1:6" x14ac:dyDescent="0.2">
      <c r="A103" s="5">
        <v>45028</v>
      </c>
      <c r="B103">
        <v>2023</v>
      </c>
      <c r="C103" s="3" t="s">
        <v>34</v>
      </c>
      <c r="D103" s="3" t="str" cm="1">
        <f t="array" ref="D10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Abril</v>
      </c>
      <c r="E103">
        <v>2</v>
      </c>
      <c r="F103" s="3" t="s">
        <v>28</v>
      </c>
    </row>
    <row r="104" spans="1:6" x14ac:dyDescent="0.2">
      <c r="A104" s="5">
        <v>45029</v>
      </c>
      <c r="B104">
        <v>2023</v>
      </c>
      <c r="C104" s="3" t="s">
        <v>34</v>
      </c>
      <c r="D104" s="3" t="str" cm="1">
        <f t="array" ref="D10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Abril</v>
      </c>
      <c r="E104">
        <v>2</v>
      </c>
      <c r="F104" s="3" t="s">
        <v>29</v>
      </c>
    </row>
    <row r="105" spans="1:6" x14ac:dyDescent="0.2">
      <c r="A105" s="5">
        <v>45030</v>
      </c>
      <c r="B105">
        <v>2023</v>
      </c>
      <c r="C105" s="3" t="s">
        <v>34</v>
      </c>
      <c r="D105" s="3" t="str" cm="1">
        <f t="array" ref="D10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Abril</v>
      </c>
      <c r="E105">
        <v>2</v>
      </c>
      <c r="F105" s="3" t="s">
        <v>30</v>
      </c>
    </row>
    <row r="106" spans="1:6" x14ac:dyDescent="0.2">
      <c r="A106" s="5">
        <v>45031</v>
      </c>
      <c r="B106">
        <v>2023</v>
      </c>
      <c r="C106" s="3" t="s">
        <v>34</v>
      </c>
      <c r="D106" s="3" t="str" cm="1">
        <f t="array" ref="D10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Abril</v>
      </c>
      <c r="E106">
        <v>2</v>
      </c>
      <c r="F106" s="3" t="s">
        <v>31</v>
      </c>
    </row>
    <row r="107" spans="1:6" x14ac:dyDescent="0.2">
      <c r="A107" s="5">
        <v>45032</v>
      </c>
      <c r="B107">
        <v>2023</v>
      </c>
      <c r="C107" s="3" t="s">
        <v>34</v>
      </c>
      <c r="D107" s="3" t="str" cm="1">
        <f t="array" ref="D10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Abril</v>
      </c>
      <c r="E107">
        <v>2</v>
      </c>
      <c r="F107" s="3" t="s">
        <v>25</v>
      </c>
    </row>
    <row r="108" spans="1:6" x14ac:dyDescent="0.2">
      <c r="A108" s="5">
        <v>45033</v>
      </c>
      <c r="B108">
        <v>2023</v>
      </c>
      <c r="C108" s="3" t="s">
        <v>34</v>
      </c>
      <c r="D108" s="3" t="str" cm="1">
        <f t="array" ref="D10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Abril</v>
      </c>
      <c r="E108">
        <v>2</v>
      </c>
      <c r="F108" s="3" t="s">
        <v>26</v>
      </c>
    </row>
    <row r="109" spans="1:6" x14ac:dyDescent="0.2">
      <c r="A109" s="5">
        <v>45034</v>
      </c>
      <c r="B109">
        <v>2023</v>
      </c>
      <c r="C109" s="3" t="s">
        <v>34</v>
      </c>
      <c r="D109" s="3" t="str" cm="1">
        <f t="array" ref="D10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Abril</v>
      </c>
      <c r="E109">
        <v>2</v>
      </c>
      <c r="F109" s="3" t="s">
        <v>27</v>
      </c>
    </row>
    <row r="110" spans="1:6" x14ac:dyDescent="0.2">
      <c r="A110" s="5">
        <v>45035</v>
      </c>
      <c r="B110">
        <v>2023</v>
      </c>
      <c r="C110" s="3" t="s">
        <v>34</v>
      </c>
      <c r="D110" s="3" t="str" cm="1">
        <f t="array" ref="D11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Abril</v>
      </c>
      <c r="E110">
        <v>2</v>
      </c>
      <c r="F110" s="3" t="s">
        <v>28</v>
      </c>
    </row>
    <row r="111" spans="1:6" x14ac:dyDescent="0.2">
      <c r="A111" s="5">
        <v>45036</v>
      </c>
      <c r="B111">
        <v>2023</v>
      </c>
      <c r="C111" s="3" t="s">
        <v>34</v>
      </c>
      <c r="D111" s="3" t="str" cm="1">
        <f t="array" ref="D11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Abril</v>
      </c>
      <c r="E111">
        <v>2</v>
      </c>
      <c r="F111" s="3" t="s">
        <v>29</v>
      </c>
    </row>
    <row r="112" spans="1:6" x14ac:dyDescent="0.2">
      <c r="A112" s="5">
        <v>45037</v>
      </c>
      <c r="B112">
        <v>2023</v>
      </c>
      <c r="C112" s="3" t="s">
        <v>34</v>
      </c>
      <c r="D112" s="3" t="str" cm="1">
        <f t="array" ref="D11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Abril</v>
      </c>
      <c r="E112">
        <v>2</v>
      </c>
      <c r="F112" s="3" t="s">
        <v>30</v>
      </c>
    </row>
    <row r="113" spans="1:6" x14ac:dyDescent="0.2">
      <c r="A113" s="5">
        <v>45038</v>
      </c>
      <c r="B113">
        <v>2023</v>
      </c>
      <c r="C113" s="3" t="s">
        <v>34</v>
      </c>
      <c r="D113" s="3" t="str" cm="1">
        <f t="array" ref="D11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Abril</v>
      </c>
      <c r="E113">
        <v>2</v>
      </c>
      <c r="F113" s="3" t="s">
        <v>31</v>
      </c>
    </row>
    <row r="114" spans="1:6" x14ac:dyDescent="0.2">
      <c r="A114" s="5">
        <v>45039</v>
      </c>
      <c r="B114">
        <v>2023</v>
      </c>
      <c r="C114" s="3" t="s">
        <v>34</v>
      </c>
      <c r="D114" s="3" t="str" cm="1">
        <f t="array" ref="D11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Abril</v>
      </c>
      <c r="E114">
        <v>2</v>
      </c>
      <c r="F114" s="3" t="s">
        <v>25</v>
      </c>
    </row>
    <row r="115" spans="1:6" x14ac:dyDescent="0.2">
      <c r="A115" s="5">
        <v>45040</v>
      </c>
      <c r="B115">
        <v>2023</v>
      </c>
      <c r="C115" s="3" t="s">
        <v>34</v>
      </c>
      <c r="D115" s="3" t="str" cm="1">
        <f t="array" ref="D11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Abril</v>
      </c>
      <c r="E115">
        <v>2</v>
      </c>
      <c r="F115" s="3" t="s">
        <v>26</v>
      </c>
    </row>
    <row r="116" spans="1:6" x14ac:dyDescent="0.2">
      <c r="A116" s="5">
        <v>45041</v>
      </c>
      <c r="B116">
        <v>2023</v>
      </c>
      <c r="C116" s="3" t="s">
        <v>34</v>
      </c>
      <c r="D116" s="3" t="str" cm="1">
        <f t="array" ref="D11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Abril</v>
      </c>
      <c r="E116">
        <v>2</v>
      </c>
      <c r="F116" s="3" t="s">
        <v>27</v>
      </c>
    </row>
    <row r="117" spans="1:6" x14ac:dyDescent="0.2">
      <c r="A117" s="5">
        <v>45042</v>
      </c>
      <c r="B117">
        <v>2023</v>
      </c>
      <c r="C117" s="3" t="s">
        <v>34</v>
      </c>
      <c r="D117" s="3" t="str" cm="1">
        <f t="array" ref="D11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Abril</v>
      </c>
      <c r="E117">
        <v>2</v>
      </c>
      <c r="F117" s="3" t="s">
        <v>28</v>
      </c>
    </row>
    <row r="118" spans="1:6" x14ac:dyDescent="0.2">
      <c r="A118" s="5">
        <v>45043</v>
      </c>
      <c r="B118">
        <v>2023</v>
      </c>
      <c r="C118" s="3" t="s">
        <v>34</v>
      </c>
      <c r="D118" s="3" t="str" cm="1">
        <f t="array" ref="D11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Abril</v>
      </c>
      <c r="E118">
        <v>2</v>
      </c>
      <c r="F118" s="3" t="s">
        <v>29</v>
      </c>
    </row>
    <row r="119" spans="1:6" x14ac:dyDescent="0.2">
      <c r="A119" s="5">
        <v>45044</v>
      </c>
      <c r="B119">
        <v>2023</v>
      </c>
      <c r="C119" s="3" t="s">
        <v>34</v>
      </c>
      <c r="D119" s="3" t="str" cm="1">
        <f t="array" ref="D11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Abril</v>
      </c>
      <c r="E119">
        <v>2</v>
      </c>
      <c r="F119" s="3" t="s">
        <v>30</v>
      </c>
    </row>
    <row r="120" spans="1:6" x14ac:dyDescent="0.2">
      <c r="A120" s="5">
        <v>45045</v>
      </c>
      <c r="B120">
        <v>2023</v>
      </c>
      <c r="C120" s="3" t="s">
        <v>34</v>
      </c>
      <c r="D120" s="3" t="str" cm="1">
        <f t="array" ref="D12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Abril</v>
      </c>
      <c r="E120">
        <v>2</v>
      </c>
      <c r="F120" s="3" t="s">
        <v>31</v>
      </c>
    </row>
    <row r="121" spans="1:6" x14ac:dyDescent="0.2">
      <c r="A121" s="5">
        <v>45046</v>
      </c>
      <c r="B121">
        <v>2023</v>
      </c>
      <c r="C121" s="3" t="s">
        <v>34</v>
      </c>
      <c r="D121" s="3" t="str" cm="1">
        <f t="array" ref="D12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Abril</v>
      </c>
      <c r="E121">
        <v>2</v>
      </c>
      <c r="F121" s="3" t="s">
        <v>25</v>
      </c>
    </row>
    <row r="122" spans="1:6" x14ac:dyDescent="0.2">
      <c r="A122" s="5">
        <v>45047</v>
      </c>
      <c r="B122">
        <v>2023</v>
      </c>
      <c r="C122" s="3" t="s">
        <v>35</v>
      </c>
      <c r="D122" s="3" t="str" cm="1">
        <f t="array" ref="D12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Mayo</v>
      </c>
      <c r="E122">
        <v>2</v>
      </c>
      <c r="F122" s="3" t="s">
        <v>26</v>
      </c>
    </row>
    <row r="123" spans="1:6" x14ac:dyDescent="0.2">
      <c r="A123" s="5">
        <v>45048</v>
      </c>
      <c r="B123">
        <v>2023</v>
      </c>
      <c r="C123" s="3" t="s">
        <v>35</v>
      </c>
      <c r="D123" s="3" t="str" cm="1">
        <f t="array" ref="D12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Mayo</v>
      </c>
      <c r="E123">
        <v>2</v>
      </c>
      <c r="F123" s="3" t="s">
        <v>27</v>
      </c>
    </row>
    <row r="124" spans="1:6" x14ac:dyDescent="0.2">
      <c r="A124" s="5">
        <v>45049</v>
      </c>
      <c r="B124">
        <v>2023</v>
      </c>
      <c r="C124" s="3" t="s">
        <v>35</v>
      </c>
      <c r="D124" s="3" t="str" cm="1">
        <f t="array" ref="D12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Mayo</v>
      </c>
      <c r="E124">
        <v>2</v>
      </c>
      <c r="F124" s="3" t="s">
        <v>28</v>
      </c>
    </row>
    <row r="125" spans="1:6" x14ac:dyDescent="0.2">
      <c r="A125" s="5">
        <v>45050</v>
      </c>
      <c r="B125">
        <v>2023</v>
      </c>
      <c r="C125" s="3" t="s">
        <v>35</v>
      </c>
      <c r="D125" s="3" t="str" cm="1">
        <f t="array" ref="D12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Mayo</v>
      </c>
      <c r="E125">
        <v>2</v>
      </c>
      <c r="F125" s="3" t="s">
        <v>29</v>
      </c>
    </row>
    <row r="126" spans="1:6" x14ac:dyDescent="0.2">
      <c r="A126" s="5">
        <v>45051</v>
      </c>
      <c r="B126">
        <v>2023</v>
      </c>
      <c r="C126" s="3" t="s">
        <v>35</v>
      </c>
      <c r="D126" s="3" t="str" cm="1">
        <f t="array" ref="D12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Mayo</v>
      </c>
      <c r="E126">
        <v>2</v>
      </c>
      <c r="F126" s="3" t="s">
        <v>30</v>
      </c>
    </row>
    <row r="127" spans="1:6" x14ac:dyDescent="0.2">
      <c r="A127" s="5">
        <v>45052</v>
      </c>
      <c r="B127">
        <v>2023</v>
      </c>
      <c r="C127" s="3" t="s">
        <v>35</v>
      </c>
      <c r="D127" s="3" t="str" cm="1">
        <f t="array" ref="D12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Mayo</v>
      </c>
      <c r="E127">
        <v>2</v>
      </c>
      <c r="F127" s="3" t="s">
        <v>31</v>
      </c>
    </row>
    <row r="128" spans="1:6" x14ac:dyDescent="0.2">
      <c r="A128" s="5">
        <v>45053</v>
      </c>
      <c r="B128">
        <v>2023</v>
      </c>
      <c r="C128" s="3" t="s">
        <v>35</v>
      </c>
      <c r="D128" s="3" t="str" cm="1">
        <f t="array" ref="D12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Mayo</v>
      </c>
      <c r="E128">
        <v>2</v>
      </c>
      <c r="F128" s="3" t="s">
        <v>25</v>
      </c>
    </row>
    <row r="129" spans="1:6" x14ac:dyDescent="0.2">
      <c r="A129" s="5">
        <v>45054</v>
      </c>
      <c r="B129">
        <v>2023</v>
      </c>
      <c r="C129" s="3" t="s">
        <v>35</v>
      </c>
      <c r="D129" s="3" t="str" cm="1">
        <f t="array" ref="D12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Mayo</v>
      </c>
      <c r="E129">
        <v>2</v>
      </c>
      <c r="F129" s="3" t="s">
        <v>26</v>
      </c>
    </row>
    <row r="130" spans="1:6" x14ac:dyDescent="0.2">
      <c r="A130" s="5">
        <v>45055</v>
      </c>
      <c r="B130">
        <v>2023</v>
      </c>
      <c r="C130" s="3" t="s">
        <v>35</v>
      </c>
      <c r="D130" s="3" t="str" cm="1">
        <f t="array" ref="D13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Mayo</v>
      </c>
      <c r="E130">
        <v>2</v>
      </c>
      <c r="F130" s="3" t="s">
        <v>27</v>
      </c>
    </row>
    <row r="131" spans="1:6" x14ac:dyDescent="0.2">
      <c r="A131" s="5">
        <v>45056</v>
      </c>
      <c r="B131">
        <v>2023</v>
      </c>
      <c r="C131" s="3" t="s">
        <v>35</v>
      </c>
      <c r="D131" s="3" t="str" cm="1">
        <f t="array" ref="D13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Mayo</v>
      </c>
      <c r="E131">
        <v>2</v>
      </c>
      <c r="F131" s="3" t="s">
        <v>28</v>
      </c>
    </row>
    <row r="132" spans="1:6" x14ac:dyDescent="0.2">
      <c r="A132" s="5">
        <v>45057</v>
      </c>
      <c r="B132">
        <v>2023</v>
      </c>
      <c r="C132" s="3" t="s">
        <v>35</v>
      </c>
      <c r="D132" s="3" t="str" cm="1">
        <f t="array" ref="D13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Mayo</v>
      </c>
      <c r="E132">
        <v>2</v>
      </c>
      <c r="F132" s="3" t="s">
        <v>29</v>
      </c>
    </row>
    <row r="133" spans="1:6" x14ac:dyDescent="0.2">
      <c r="A133" s="5">
        <v>45058</v>
      </c>
      <c r="B133">
        <v>2023</v>
      </c>
      <c r="C133" s="3" t="s">
        <v>35</v>
      </c>
      <c r="D133" s="3" t="str" cm="1">
        <f t="array" ref="D13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Mayo</v>
      </c>
      <c r="E133">
        <v>2</v>
      </c>
      <c r="F133" s="3" t="s">
        <v>30</v>
      </c>
    </row>
    <row r="134" spans="1:6" x14ac:dyDescent="0.2">
      <c r="A134" s="5">
        <v>45059</v>
      </c>
      <c r="B134">
        <v>2023</v>
      </c>
      <c r="C134" s="3" t="s">
        <v>35</v>
      </c>
      <c r="D134" s="3" t="str" cm="1">
        <f t="array" ref="D13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Mayo</v>
      </c>
      <c r="E134">
        <v>2</v>
      </c>
      <c r="F134" s="3" t="s">
        <v>31</v>
      </c>
    </row>
    <row r="135" spans="1:6" x14ac:dyDescent="0.2">
      <c r="A135" s="5">
        <v>45060</v>
      </c>
      <c r="B135">
        <v>2023</v>
      </c>
      <c r="C135" s="3" t="s">
        <v>35</v>
      </c>
      <c r="D135" s="3" t="str" cm="1">
        <f t="array" ref="D13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Mayo</v>
      </c>
      <c r="E135">
        <v>2</v>
      </c>
      <c r="F135" s="3" t="s">
        <v>25</v>
      </c>
    </row>
    <row r="136" spans="1:6" x14ac:dyDescent="0.2">
      <c r="A136" s="5">
        <v>45061</v>
      </c>
      <c r="B136">
        <v>2023</v>
      </c>
      <c r="C136" s="3" t="s">
        <v>35</v>
      </c>
      <c r="D136" s="3" t="str" cm="1">
        <f t="array" ref="D13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Mayo</v>
      </c>
      <c r="E136">
        <v>2</v>
      </c>
      <c r="F136" s="3" t="s">
        <v>26</v>
      </c>
    </row>
    <row r="137" spans="1:6" x14ac:dyDescent="0.2">
      <c r="A137" s="5">
        <v>45062</v>
      </c>
      <c r="B137">
        <v>2023</v>
      </c>
      <c r="C137" s="3" t="s">
        <v>35</v>
      </c>
      <c r="D137" s="3" t="str" cm="1">
        <f t="array" ref="D13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Mayo</v>
      </c>
      <c r="E137">
        <v>2</v>
      </c>
      <c r="F137" s="3" t="s">
        <v>27</v>
      </c>
    </row>
    <row r="138" spans="1:6" x14ac:dyDescent="0.2">
      <c r="A138" s="5">
        <v>45063</v>
      </c>
      <c r="B138">
        <v>2023</v>
      </c>
      <c r="C138" s="3" t="s">
        <v>35</v>
      </c>
      <c r="D138" s="3" t="str" cm="1">
        <f t="array" ref="D13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Mayo</v>
      </c>
      <c r="E138">
        <v>2</v>
      </c>
      <c r="F138" s="3" t="s">
        <v>28</v>
      </c>
    </row>
    <row r="139" spans="1:6" x14ac:dyDescent="0.2">
      <c r="A139" s="5">
        <v>45064</v>
      </c>
      <c r="B139">
        <v>2023</v>
      </c>
      <c r="C139" s="3" t="s">
        <v>35</v>
      </c>
      <c r="D139" s="3" t="str" cm="1">
        <f t="array" ref="D13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Mayo</v>
      </c>
      <c r="E139">
        <v>2</v>
      </c>
      <c r="F139" s="3" t="s">
        <v>29</v>
      </c>
    </row>
    <row r="140" spans="1:6" x14ac:dyDescent="0.2">
      <c r="A140" s="5">
        <v>45065</v>
      </c>
      <c r="B140">
        <v>2023</v>
      </c>
      <c r="C140" s="3" t="s">
        <v>35</v>
      </c>
      <c r="D140" s="3" t="str" cm="1">
        <f t="array" ref="D14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Mayo</v>
      </c>
      <c r="E140">
        <v>2</v>
      </c>
      <c r="F140" s="3" t="s">
        <v>30</v>
      </c>
    </row>
    <row r="141" spans="1:6" x14ac:dyDescent="0.2">
      <c r="A141" s="5">
        <v>45066</v>
      </c>
      <c r="B141">
        <v>2023</v>
      </c>
      <c r="C141" s="3" t="s">
        <v>35</v>
      </c>
      <c r="D141" s="3" t="str" cm="1">
        <f t="array" ref="D14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Mayo</v>
      </c>
      <c r="E141">
        <v>2</v>
      </c>
      <c r="F141" s="3" t="s">
        <v>31</v>
      </c>
    </row>
    <row r="142" spans="1:6" x14ac:dyDescent="0.2">
      <c r="A142" s="5">
        <v>45067</v>
      </c>
      <c r="B142">
        <v>2023</v>
      </c>
      <c r="C142" s="3" t="s">
        <v>35</v>
      </c>
      <c r="D142" s="3" t="str" cm="1">
        <f t="array" ref="D14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Mayo</v>
      </c>
      <c r="E142">
        <v>2</v>
      </c>
      <c r="F142" s="3" t="s">
        <v>25</v>
      </c>
    </row>
    <row r="143" spans="1:6" x14ac:dyDescent="0.2">
      <c r="A143" s="5">
        <v>45068</v>
      </c>
      <c r="B143">
        <v>2023</v>
      </c>
      <c r="C143" s="3" t="s">
        <v>35</v>
      </c>
      <c r="D143" s="3" t="str" cm="1">
        <f t="array" ref="D14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Mayo</v>
      </c>
      <c r="E143">
        <v>2</v>
      </c>
      <c r="F143" s="3" t="s">
        <v>26</v>
      </c>
    </row>
    <row r="144" spans="1:6" x14ac:dyDescent="0.2">
      <c r="A144" s="5">
        <v>45069</v>
      </c>
      <c r="B144">
        <v>2023</v>
      </c>
      <c r="C144" s="3" t="s">
        <v>35</v>
      </c>
      <c r="D144" s="3" t="str" cm="1">
        <f t="array" ref="D14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Mayo</v>
      </c>
      <c r="E144">
        <v>2</v>
      </c>
      <c r="F144" s="3" t="s">
        <v>27</v>
      </c>
    </row>
    <row r="145" spans="1:6" x14ac:dyDescent="0.2">
      <c r="A145" s="5">
        <v>45070</v>
      </c>
      <c r="B145">
        <v>2023</v>
      </c>
      <c r="C145" s="3" t="s">
        <v>35</v>
      </c>
      <c r="D145" s="3" t="str" cm="1">
        <f t="array" ref="D14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Mayo</v>
      </c>
      <c r="E145">
        <v>2</v>
      </c>
      <c r="F145" s="3" t="s">
        <v>28</v>
      </c>
    </row>
    <row r="146" spans="1:6" x14ac:dyDescent="0.2">
      <c r="A146" s="5">
        <v>45071</v>
      </c>
      <c r="B146">
        <v>2023</v>
      </c>
      <c r="C146" s="3" t="s">
        <v>35</v>
      </c>
      <c r="D146" s="3" t="str" cm="1">
        <f t="array" ref="D14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Mayo</v>
      </c>
      <c r="E146">
        <v>2</v>
      </c>
      <c r="F146" s="3" t="s">
        <v>29</v>
      </c>
    </row>
    <row r="147" spans="1:6" x14ac:dyDescent="0.2">
      <c r="A147" s="5">
        <v>45072</v>
      </c>
      <c r="B147">
        <v>2023</v>
      </c>
      <c r="C147" s="3" t="s">
        <v>35</v>
      </c>
      <c r="D147" s="3" t="str" cm="1">
        <f t="array" ref="D14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Mayo</v>
      </c>
      <c r="E147">
        <v>2</v>
      </c>
      <c r="F147" s="3" t="s">
        <v>30</v>
      </c>
    </row>
    <row r="148" spans="1:6" x14ac:dyDescent="0.2">
      <c r="A148" s="5">
        <v>45073</v>
      </c>
      <c r="B148">
        <v>2023</v>
      </c>
      <c r="C148" s="3" t="s">
        <v>35</v>
      </c>
      <c r="D148" s="3" t="str" cm="1">
        <f t="array" ref="D14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Mayo</v>
      </c>
      <c r="E148">
        <v>2</v>
      </c>
      <c r="F148" s="3" t="s">
        <v>31</v>
      </c>
    </row>
    <row r="149" spans="1:6" x14ac:dyDescent="0.2">
      <c r="A149" s="5">
        <v>45074</v>
      </c>
      <c r="B149">
        <v>2023</v>
      </c>
      <c r="C149" s="3" t="s">
        <v>35</v>
      </c>
      <c r="D149" s="3" t="str" cm="1">
        <f t="array" ref="D14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Mayo</v>
      </c>
      <c r="E149">
        <v>2</v>
      </c>
      <c r="F149" s="3" t="s">
        <v>25</v>
      </c>
    </row>
    <row r="150" spans="1:6" x14ac:dyDescent="0.2">
      <c r="A150" s="5">
        <v>45075</v>
      </c>
      <c r="B150">
        <v>2023</v>
      </c>
      <c r="C150" s="3" t="s">
        <v>35</v>
      </c>
      <c r="D150" s="3" t="str" cm="1">
        <f t="array" ref="D15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Mayo</v>
      </c>
      <c r="E150">
        <v>2</v>
      </c>
      <c r="F150" s="3" t="s">
        <v>26</v>
      </c>
    </row>
    <row r="151" spans="1:6" x14ac:dyDescent="0.2">
      <c r="A151" s="5">
        <v>45076</v>
      </c>
      <c r="B151">
        <v>2023</v>
      </c>
      <c r="C151" s="3" t="s">
        <v>35</v>
      </c>
      <c r="D151" s="3" t="str" cm="1">
        <f t="array" ref="D15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Mayo</v>
      </c>
      <c r="E151">
        <v>2</v>
      </c>
      <c r="F151" s="3" t="s">
        <v>27</v>
      </c>
    </row>
    <row r="152" spans="1:6" x14ac:dyDescent="0.2">
      <c r="A152" s="5">
        <v>45077</v>
      </c>
      <c r="B152">
        <v>2023</v>
      </c>
      <c r="C152" s="3" t="s">
        <v>35</v>
      </c>
      <c r="D152" s="3" t="str" cm="1">
        <f t="array" ref="D15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Mayo</v>
      </c>
      <c r="E152">
        <v>2</v>
      </c>
      <c r="F152" s="3" t="s">
        <v>28</v>
      </c>
    </row>
    <row r="153" spans="1:6" x14ac:dyDescent="0.2">
      <c r="A153" s="5">
        <v>45078</v>
      </c>
      <c r="B153">
        <v>2023</v>
      </c>
      <c r="C153" s="3" t="s">
        <v>36</v>
      </c>
      <c r="D153" s="3" t="str" cm="1">
        <f t="array" ref="D15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Junio</v>
      </c>
      <c r="E153">
        <v>2</v>
      </c>
      <c r="F153" s="3" t="s">
        <v>29</v>
      </c>
    </row>
    <row r="154" spans="1:6" x14ac:dyDescent="0.2">
      <c r="A154" s="5">
        <v>45079</v>
      </c>
      <c r="B154">
        <v>2023</v>
      </c>
      <c r="C154" s="3" t="s">
        <v>36</v>
      </c>
      <c r="D154" s="3" t="str" cm="1">
        <f t="array" ref="D15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Junio</v>
      </c>
      <c r="E154">
        <v>2</v>
      </c>
      <c r="F154" s="3" t="s">
        <v>30</v>
      </c>
    </row>
    <row r="155" spans="1:6" x14ac:dyDescent="0.2">
      <c r="A155" s="5">
        <v>45080</v>
      </c>
      <c r="B155">
        <v>2023</v>
      </c>
      <c r="C155" s="3" t="s">
        <v>36</v>
      </c>
      <c r="D155" s="3" t="str" cm="1">
        <f t="array" ref="D15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Junio</v>
      </c>
      <c r="E155">
        <v>2</v>
      </c>
      <c r="F155" s="3" t="s">
        <v>31</v>
      </c>
    </row>
    <row r="156" spans="1:6" x14ac:dyDescent="0.2">
      <c r="A156" s="5">
        <v>45081</v>
      </c>
      <c r="B156">
        <v>2023</v>
      </c>
      <c r="C156" s="3" t="s">
        <v>36</v>
      </c>
      <c r="D156" s="3" t="str" cm="1">
        <f t="array" ref="D15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Junio</v>
      </c>
      <c r="E156">
        <v>2</v>
      </c>
      <c r="F156" s="3" t="s">
        <v>25</v>
      </c>
    </row>
    <row r="157" spans="1:6" x14ac:dyDescent="0.2">
      <c r="A157" s="5">
        <v>45082</v>
      </c>
      <c r="B157">
        <v>2023</v>
      </c>
      <c r="C157" s="3" t="s">
        <v>36</v>
      </c>
      <c r="D157" s="3" t="str" cm="1">
        <f t="array" ref="D15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Junio</v>
      </c>
      <c r="E157">
        <v>2</v>
      </c>
      <c r="F157" s="3" t="s">
        <v>26</v>
      </c>
    </row>
    <row r="158" spans="1:6" x14ac:dyDescent="0.2">
      <c r="A158" s="5">
        <v>45083</v>
      </c>
      <c r="B158">
        <v>2023</v>
      </c>
      <c r="C158" s="3" t="s">
        <v>36</v>
      </c>
      <c r="D158" s="3" t="str" cm="1">
        <f t="array" ref="D15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Junio</v>
      </c>
      <c r="E158">
        <v>2</v>
      </c>
      <c r="F158" s="3" t="s">
        <v>27</v>
      </c>
    </row>
    <row r="159" spans="1:6" x14ac:dyDescent="0.2">
      <c r="A159" s="5">
        <v>45084</v>
      </c>
      <c r="B159">
        <v>2023</v>
      </c>
      <c r="C159" s="3" t="s">
        <v>36</v>
      </c>
      <c r="D159" s="3" t="str" cm="1">
        <f t="array" ref="D15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Junio</v>
      </c>
      <c r="E159">
        <v>2</v>
      </c>
      <c r="F159" s="3" t="s">
        <v>28</v>
      </c>
    </row>
    <row r="160" spans="1:6" x14ac:dyDescent="0.2">
      <c r="A160" s="5">
        <v>45085</v>
      </c>
      <c r="B160">
        <v>2023</v>
      </c>
      <c r="C160" s="3" t="s">
        <v>36</v>
      </c>
      <c r="D160" s="3" t="str" cm="1">
        <f t="array" ref="D16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Junio</v>
      </c>
      <c r="E160">
        <v>2</v>
      </c>
      <c r="F160" s="3" t="s">
        <v>29</v>
      </c>
    </row>
    <row r="161" spans="1:6" x14ac:dyDescent="0.2">
      <c r="A161" s="5">
        <v>45086</v>
      </c>
      <c r="B161">
        <v>2023</v>
      </c>
      <c r="C161" s="3" t="s">
        <v>36</v>
      </c>
      <c r="D161" s="3" t="str" cm="1">
        <f t="array" ref="D16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Junio</v>
      </c>
      <c r="E161">
        <v>2</v>
      </c>
      <c r="F161" s="3" t="s">
        <v>30</v>
      </c>
    </row>
    <row r="162" spans="1:6" x14ac:dyDescent="0.2">
      <c r="A162" s="5">
        <v>45087</v>
      </c>
      <c r="B162">
        <v>2023</v>
      </c>
      <c r="C162" s="3" t="s">
        <v>36</v>
      </c>
      <c r="D162" s="3" t="str" cm="1">
        <f t="array" ref="D16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Junio</v>
      </c>
      <c r="E162">
        <v>2</v>
      </c>
      <c r="F162" s="3" t="s">
        <v>31</v>
      </c>
    </row>
    <row r="163" spans="1:6" x14ac:dyDescent="0.2">
      <c r="A163" s="5">
        <v>45088</v>
      </c>
      <c r="B163">
        <v>2023</v>
      </c>
      <c r="C163" s="3" t="s">
        <v>36</v>
      </c>
      <c r="D163" s="3" t="str" cm="1">
        <f t="array" ref="D16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Junio</v>
      </c>
      <c r="E163">
        <v>2</v>
      </c>
      <c r="F163" s="3" t="s">
        <v>25</v>
      </c>
    </row>
    <row r="164" spans="1:6" x14ac:dyDescent="0.2">
      <c r="A164" s="5">
        <v>45089</v>
      </c>
      <c r="B164">
        <v>2023</v>
      </c>
      <c r="C164" s="3" t="s">
        <v>36</v>
      </c>
      <c r="D164" s="3" t="str" cm="1">
        <f t="array" ref="D16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Junio</v>
      </c>
      <c r="E164">
        <v>2</v>
      </c>
      <c r="F164" s="3" t="s">
        <v>26</v>
      </c>
    </row>
    <row r="165" spans="1:6" x14ac:dyDescent="0.2">
      <c r="A165" s="5">
        <v>45090</v>
      </c>
      <c r="B165">
        <v>2023</v>
      </c>
      <c r="C165" s="3" t="s">
        <v>36</v>
      </c>
      <c r="D165" s="3" t="str" cm="1">
        <f t="array" ref="D16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Junio</v>
      </c>
      <c r="E165">
        <v>2</v>
      </c>
      <c r="F165" s="3" t="s">
        <v>27</v>
      </c>
    </row>
    <row r="166" spans="1:6" x14ac:dyDescent="0.2">
      <c r="A166" s="5">
        <v>45091</v>
      </c>
      <c r="B166">
        <v>2023</v>
      </c>
      <c r="C166" s="3" t="s">
        <v>36</v>
      </c>
      <c r="D166" s="3" t="str" cm="1">
        <f t="array" ref="D16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Junio</v>
      </c>
      <c r="E166">
        <v>2</v>
      </c>
      <c r="F166" s="3" t="s">
        <v>28</v>
      </c>
    </row>
    <row r="167" spans="1:6" x14ac:dyDescent="0.2">
      <c r="A167" s="5">
        <v>45092</v>
      </c>
      <c r="B167">
        <v>2023</v>
      </c>
      <c r="C167" s="3" t="s">
        <v>36</v>
      </c>
      <c r="D167" s="3" t="str" cm="1">
        <f t="array" ref="D16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Junio</v>
      </c>
      <c r="E167">
        <v>2</v>
      </c>
      <c r="F167" s="3" t="s">
        <v>29</v>
      </c>
    </row>
    <row r="168" spans="1:6" x14ac:dyDescent="0.2">
      <c r="A168" s="5">
        <v>45093</v>
      </c>
      <c r="B168">
        <v>2023</v>
      </c>
      <c r="C168" s="3" t="s">
        <v>36</v>
      </c>
      <c r="D168" s="3" t="str" cm="1">
        <f t="array" ref="D16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Junio</v>
      </c>
      <c r="E168">
        <v>2</v>
      </c>
      <c r="F168" s="3" t="s">
        <v>30</v>
      </c>
    </row>
    <row r="169" spans="1:6" x14ac:dyDescent="0.2">
      <c r="A169" s="5">
        <v>45094</v>
      </c>
      <c r="B169">
        <v>2023</v>
      </c>
      <c r="C169" s="3" t="s">
        <v>36</v>
      </c>
      <c r="D169" s="3" t="str" cm="1">
        <f t="array" ref="D16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Junio</v>
      </c>
      <c r="E169">
        <v>2</v>
      </c>
      <c r="F169" s="3" t="s">
        <v>31</v>
      </c>
    </row>
    <row r="170" spans="1:6" x14ac:dyDescent="0.2">
      <c r="A170" s="5">
        <v>45095</v>
      </c>
      <c r="B170">
        <v>2023</v>
      </c>
      <c r="C170" s="3" t="s">
        <v>36</v>
      </c>
      <c r="D170" s="3" t="str" cm="1">
        <f t="array" ref="D17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Junio</v>
      </c>
      <c r="E170">
        <v>2</v>
      </c>
      <c r="F170" s="3" t="s">
        <v>25</v>
      </c>
    </row>
    <row r="171" spans="1:6" x14ac:dyDescent="0.2">
      <c r="A171" s="5">
        <v>45096</v>
      </c>
      <c r="B171">
        <v>2023</v>
      </c>
      <c r="C171" s="3" t="s">
        <v>36</v>
      </c>
      <c r="D171" s="3" t="str" cm="1">
        <f t="array" ref="D17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Junio</v>
      </c>
      <c r="E171">
        <v>2</v>
      </c>
      <c r="F171" s="3" t="s">
        <v>26</v>
      </c>
    </row>
    <row r="172" spans="1:6" x14ac:dyDescent="0.2">
      <c r="A172" s="5">
        <v>45097</v>
      </c>
      <c r="B172">
        <v>2023</v>
      </c>
      <c r="C172" s="3" t="s">
        <v>36</v>
      </c>
      <c r="D172" s="3" t="str" cm="1">
        <f t="array" ref="D17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Junio</v>
      </c>
      <c r="E172">
        <v>2</v>
      </c>
      <c r="F172" s="3" t="s">
        <v>27</v>
      </c>
    </row>
    <row r="173" spans="1:6" x14ac:dyDescent="0.2">
      <c r="A173" s="5">
        <v>45098</v>
      </c>
      <c r="B173">
        <v>2023</v>
      </c>
      <c r="C173" s="3" t="s">
        <v>36</v>
      </c>
      <c r="D173" s="3" t="str" cm="1">
        <f t="array" ref="D17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Junio</v>
      </c>
      <c r="E173">
        <v>2</v>
      </c>
      <c r="F173" s="3" t="s">
        <v>28</v>
      </c>
    </row>
    <row r="174" spans="1:6" x14ac:dyDescent="0.2">
      <c r="A174" s="5">
        <v>45099</v>
      </c>
      <c r="B174">
        <v>2023</v>
      </c>
      <c r="C174" s="3" t="s">
        <v>36</v>
      </c>
      <c r="D174" s="3" t="str" cm="1">
        <f t="array" ref="D17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Junio</v>
      </c>
      <c r="E174">
        <v>2</v>
      </c>
      <c r="F174" s="3" t="s">
        <v>29</v>
      </c>
    </row>
    <row r="175" spans="1:6" x14ac:dyDescent="0.2">
      <c r="A175" s="5">
        <v>45100</v>
      </c>
      <c r="B175">
        <v>2023</v>
      </c>
      <c r="C175" s="3" t="s">
        <v>36</v>
      </c>
      <c r="D175" s="3" t="str" cm="1">
        <f t="array" ref="D17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Junio</v>
      </c>
      <c r="E175">
        <v>2</v>
      </c>
      <c r="F175" s="3" t="s">
        <v>30</v>
      </c>
    </row>
    <row r="176" spans="1:6" x14ac:dyDescent="0.2">
      <c r="A176" s="5">
        <v>45101</v>
      </c>
      <c r="B176">
        <v>2023</v>
      </c>
      <c r="C176" s="3" t="s">
        <v>36</v>
      </c>
      <c r="D176" s="3" t="str" cm="1">
        <f t="array" ref="D17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Junio</v>
      </c>
      <c r="E176">
        <v>2</v>
      </c>
      <c r="F176" s="3" t="s">
        <v>31</v>
      </c>
    </row>
    <row r="177" spans="1:6" x14ac:dyDescent="0.2">
      <c r="A177" s="5">
        <v>45102</v>
      </c>
      <c r="B177">
        <v>2023</v>
      </c>
      <c r="C177" s="3" t="s">
        <v>36</v>
      </c>
      <c r="D177" s="3" t="str" cm="1">
        <f t="array" ref="D17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Junio</v>
      </c>
      <c r="E177">
        <v>2</v>
      </c>
      <c r="F177" s="3" t="s">
        <v>25</v>
      </c>
    </row>
    <row r="178" spans="1:6" x14ac:dyDescent="0.2">
      <c r="A178" s="5">
        <v>45103</v>
      </c>
      <c r="B178">
        <v>2023</v>
      </c>
      <c r="C178" s="3" t="s">
        <v>36</v>
      </c>
      <c r="D178" s="3" t="str" cm="1">
        <f t="array" ref="D17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Junio</v>
      </c>
      <c r="E178">
        <v>2</v>
      </c>
      <c r="F178" s="3" t="s">
        <v>26</v>
      </c>
    </row>
    <row r="179" spans="1:6" x14ac:dyDescent="0.2">
      <c r="A179" s="5">
        <v>45104</v>
      </c>
      <c r="B179">
        <v>2023</v>
      </c>
      <c r="C179" s="3" t="s">
        <v>36</v>
      </c>
      <c r="D179" s="3" t="str" cm="1">
        <f t="array" ref="D17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Junio</v>
      </c>
      <c r="E179">
        <v>2</v>
      </c>
      <c r="F179" s="3" t="s">
        <v>27</v>
      </c>
    </row>
    <row r="180" spans="1:6" x14ac:dyDescent="0.2">
      <c r="A180" s="5">
        <v>45105</v>
      </c>
      <c r="B180">
        <v>2023</v>
      </c>
      <c r="C180" s="3" t="s">
        <v>36</v>
      </c>
      <c r="D180" s="3" t="str" cm="1">
        <f t="array" ref="D18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Junio</v>
      </c>
      <c r="E180">
        <v>2</v>
      </c>
      <c r="F180" s="3" t="s">
        <v>28</v>
      </c>
    </row>
    <row r="181" spans="1:6" x14ac:dyDescent="0.2">
      <c r="A181" s="5">
        <v>45106</v>
      </c>
      <c r="B181">
        <v>2023</v>
      </c>
      <c r="C181" s="3" t="s">
        <v>36</v>
      </c>
      <c r="D181" s="3" t="str" cm="1">
        <f t="array" ref="D18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Junio</v>
      </c>
      <c r="E181">
        <v>2</v>
      </c>
      <c r="F181" s="3" t="s">
        <v>29</v>
      </c>
    </row>
    <row r="182" spans="1:6" x14ac:dyDescent="0.2">
      <c r="A182" s="5">
        <v>45107</v>
      </c>
      <c r="B182">
        <v>2023</v>
      </c>
      <c r="C182" s="3" t="s">
        <v>36</v>
      </c>
      <c r="D182" s="3" t="str" cm="1">
        <f t="array" ref="D18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Junio</v>
      </c>
      <c r="E182">
        <v>2</v>
      </c>
      <c r="F182" s="3" t="s">
        <v>30</v>
      </c>
    </row>
    <row r="183" spans="1:6" x14ac:dyDescent="0.2">
      <c r="A183" s="5">
        <v>45108</v>
      </c>
      <c r="B183">
        <v>2023</v>
      </c>
      <c r="C183" s="3" t="s">
        <v>37</v>
      </c>
      <c r="D183" s="3" t="str" cm="1">
        <f t="array" ref="D18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Julio</v>
      </c>
      <c r="E183">
        <v>3</v>
      </c>
      <c r="F183" s="3" t="s">
        <v>31</v>
      </c>
    </row>
    <row r="184" spans="1:6" x14ac:dyDescent="0.2">
      <c r="A184" s="5">
        <v>45109</v>
      </c>
      <c r="B184">
        <v>2023</v>
      </c>
      <c r="C184" s="3" t="s">
        <v>37</v>
      </c>
      <c r="D184" s="3" t="str" cm="1">
        <f t="array" ref="D18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Julio</v>
      </c>
      <c r="E184">
        <v>3</v>
      </c>
      <c r="F184" s="3" t="s">
        <v>25</v>
      </c>
    </row>
    <row r="185" spans="1:6" x14ac:dyDescent="0.2">
      <c r="A185" s="5">
        <v>45110</v>
      </c>
      <c r="B185">
        <v>2023</v>
      </c>
      <c r="C185" s="3" t="s">
        <v>37</v>
      </c>
      <c r="D185" s="3" t="str" cm="1">
        <f t="array" ref="D18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Julio</v>
      </c>
      <c r="E185">
        <v>3</v>
      </c>
      <c r="F185" s="3" t="s">
        <v>26</v>
      </c>
    </row>
    <row r="186" spans="1:6" x14ac:dyDescent="0.2">
      <c r="A186" s="5">
        <v>45111</v>
      </c>
      <c r="B186">
        <v>2023</v>
      </c>
      <c r="C186" s="3" t="s">
        <v>37</v>
      </c>
      <c r="D186" s="3" t="str" cm="1">
        <f t="array" ref="D18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Julio</v>
      </c>
      <c r="E186">
        <v>3</v>
      </c>
      <c r="F186" s="3" t="s">
        <v>27</v>
      </c>
    </row>
    <row r="187" spans="1:6" x14ac:dyDescent="0.2">
      <c r="A187" s="5">
        <v>45112</v>
      </c>
      <c r="B187">
        <v>2023</v>
      </c>
      <c r="C187" s="3" t="s">
        <v>37</v>
      </c>
      <c r="D187" s="3" t="str" cm="1">
        <f t="array" ref="D18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Julio</v>
      </c>
      <c r="E187">
        <v>3</v>
      </c>
      <c r="F187" s="3" t="s">
        <v>28</v>
      </c>
    </row>
    <row r="188" spans="1:6" x14ac:dyDescent="0.2">
      <c r="A188" s="5">
        <v>45113</v>
      </c>
      <c r="B188">
        <v>2023</v>
      </c>
      <c r="C188" s="3" t="s">
        <v>37</v>
      </c>
      <c r="D188" s="3" t="str" cm="1">
        <f t="array" ref="D18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Julio</v>
      </c>
      <c r="E188">
        <v>3</v>
      </c>
      <c r="F188" s="3" t="s">
        <v>29</v>
      </c>
    </row>
    <row r="189" spans="1:6" x14ac:dyDescent="0.2">
      <c r="A189" s="5">
        <v>45114</v>
      </c>
      <c r="B189">
        <v>2023</v>
      </c>
      <c r="C189" s="3" t="s">
        <v>37</v>
      </c>
      <c r="D189" s="3" t="str" cm="1">
        <f t="array" ref="D18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Julio</v>
      </c>
      <c r="E189">
        <v>3</v>
      </c>
      <c r="F189" s="3" t="s">
        <v>30</v>
      </c>
    </row>
    <row r="190" spans="1:6" x14ac:dyDescent="0.2">
      <c r="A190" s="5">
        <v>45115</v>
      </c>
      <c r="B190">
        <v>2023</v>
      </c>
      <c r="C190" s="3" t="s">
        <v>37</v>
      </c>
      <c r="D190" s="3" t="str" cm="1">
        <f t="array" ref="D19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Julio</v>
      </c>
      <c r="E190">
        <v>3</v>
      </c>
      <c r="F190" s="3" t="s">
        <v>31</v>
      </c>
    </row>
    <row r="191" spans="1:6" x14ac:dyDescent="0.2">
      <c r="A191" s="5">
        <v>45116</v>
      </c>
      <c r="B191">
        <v>2023</v>
      </c>
      <c r="C191" s="3" t="s">
        <v>37</v>
      </c>
      <c r="D191" s="3" t="str" cm="1">
        <f t="array" ref="D19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Julio</v>
      </c>
      <c r="E191">
        <v>3</v>
      </c>
      <c r="F191" s="3" t="s">
        <v>25</v>
      </c>
    </row>
    <row r="192" spans="1:6" x14ac:dyDescent="0.2">
      <c r="A192" s="5">
        <v>45117</v>
      </c>
      <c r="B192">
        <v>2023</v>
      </c>
      <c r="C192" s="3" t="s">
        <v>37</v>
      </c>
      <c r="D192" s="3" t="str" cm="1">
        <f t="array" ref="D19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Julio</v>
      </c>
      <c r="E192">
        <v>3</v>
      </c>
      <c r="F192" s="3" t="s">
        <v>26</v>
      </c>
    </row>
    <row r="193" spans="1:6" x14ac:dyDescent="0.2">
      <c r="A193" s="5">
        <v>45118</v>
      </c>
      <c r="B193">
        <v>2023</v>
      </c>
      <c r="C193" s="3" t="s">
        <v>37</v>
      </c>
      <c r="D193" s="3" t="str" cm="1">
        <f t="array" ref="D19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Julio</v>
      </c>
      <c r="E193">
        <v>3</v>
      </c>
      <c r="F193" s="3" t="s">
        <v>27</v>
      </c>
    </row>
    <row r="194" spans="1:6" x14ac:dyDescent="0.2">
      <c r="A194" s="5">
        <v>45119</v>
      </c>
      <c r="B194">
        <v>2023</v>
      </c>
      <c r="C194" s="3" t="s">
        <v>37</v>
      </c>
      <c r="D194" s="3" t="str" cm="1">
        <f t="array" ref="D19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Julio</v>
      </c>
      <c r="E194">
        <v>3</v>
      </c>
      <c r="F194" s="3" t="s">
        <v>28</v>
      </c>
    </row>
    <row r="195" spans="1:6" x14ac:dyDescent="0.2">
      <c r="A195" s="5">
        <v>45120</v>
      </c>
      <c r="B195">
        <v>2023</v>
      </c>
      <c r="C195" s="3" t="s">
        <v>37</v>
      </c>
      <c r="D195" s="3" t="str" cm="1">
        <f t="array" ref="D19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Julio</v>
      </c>
      <c r="E195">
        <v>3</v>
      </c>
      <c r="F195" s="3" t="s">
        <v>29</v>
      </c>
    </row>
    <row r="196" spans="1:6" x14ac:dyDescent="0.2">
      <c r="A196" s="5">
        <v>45121</v>
      </c>
      <c r="B196">
        <v>2023</v>
      </c>
      <c r="C196" s="3" t="s">
        <v>37</v>
      </c>
      <c r="D196" s="3" t="str" cm="1">
        <f t="array" ref="D19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Julio</v>
      </c>
      <c r="E196">
        <v>3</v>
      </c>
      <c r="F196" s="3" t="s">
        <v>30</v>
      </c>
    </row>
    <row r="197" spans="1:6" x14ac:dyDescent="0.2">
      <c r="A197" s="5">
        <v>45122</v>
      </c>
      <c r="B197">
        <v>2023</v>
      </c>
      <c r="C197" s="3" t="s">
        <v>37</v>
      </c>
      <c r="D197" s="3" t="str" cm="1">
        <f t="array" ref="D19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Julio</v>
      </c>
      <c r="E197">
        <v>3</v>
      </c>
      <c r="F197" s="3" t="s">
        <v>31</v>
      </c>
    </row>
    <row r="198" spans="1:6" x14ac:dyDescent="0.2">
      <c r="A198" s="5">
        <v>45123</v>
      </c>
      <c r="B198">
        <v>2023</v>
      </c>
      <c r="C198" s="3" t="s">
        <v>37</v>
      </c>
      <c r="D198" s="3" t="str" cm="1">
        <f t="array" ref="D19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Julio</v>
      </c>
      <c r="E198">
        <v>3</v>
      </c>
      <c r="F198" s="3" t="s">
        <v>25</v>
      </c>
    </row>
    <row r="199" spans="1:6" x14ac:dyDescent="0.2">
      <c r="A199" s="5">
        <v>45124</v>
      </c>
      <c r="B199">
        <v>2023</v>
      </c>
      <c r="C199" s="3" t="s">
        <v>37</v>
      </c>
      <c r="D199" s="3" t="str" cm="1">
        <f t="array" ref="D19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Julio</v>
      </c>
      <c r="E199">
        <v>3</v>
      </c>
      <c r="F199" s="3" t="s">
        <v>26</v>
      </c>
    </row>
    <row r="200" spans="1:6" x14ac:dyDescent="0.2">
      <c r="A200" s="5">
        <v>45125</v>
      </c>
      <c r="B200">
        <v>2023</v>
      </c>
      <c r="C200" s="3" t="s">
        <v>37</v>
      </c>
      <c r="D200" s="3" t="str" cm="1">
        <f t="array" ref="D20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Julio</v>
      </c>
      <c r="E200">
        <v>3</v>
      </c>
      <c r="F200" s="3" t="s">
        <v>27</v>
      </c>
    </row>
    <row r="201" spans="1:6" x14ac:dyDescent="0.2">
      <c r="A201" s="5">
        <v>45126</v>
      </c>
      <c r="B201">
        <v>2023</v>
      </c>
      <c r="C201" s="3" t="s">
        <v>37</v>
      </c>
      <c r="D201" s="3" t="str" cm="1">
        <f t="array" ref="D20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Julio</v>
      </c>
      <c r="E201">
        <v>3</v>
      </c>
      <c r="F201" s="3" t="s">
        <v>28</v>
      </c>
    </row>
    <row r="202" spans="1:6" x14ac:dyDescent="0.2">
      <c r="A202" s="5">
        <v>45127</v>
      </c>
      <c r="B202">
        <v>2023</v>
      </c>
      <c r="C202" s="3" t="s">
        <v>37</v>
      </c>
      <c r="D202" s="3" t="str" cm="1">
        <f t="array" ref="D20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Julio</v>
      </c>
      <c r="E202">
        <v>3</v>
      </c>
      <c r="F202" s="3" t="s">
        <v>29</v>
      </c>
    </row>
    <row r="203" spans="1:6" x14ac:dyDescent="0.2">
      <c r="A203" s="5">
        <v>45128</v>
      </c>
      <c r="B203">
        <v>2023</v>
      </c>
      <c r="C203" s="3" t="s">
        <v>37</v>
      </c>
      <c r="D203" s="3" t="str" cm="1">
        <f t="array" ref="D20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Julio</v>
      </c>
      <c r="E203">
        <v>3</v>
      </c>
      <c r="F203" s="3" t="s">
        <v>30</v>
      </c>
    </row>
    <row r="204" spans="1:6" x14ac:dyDescent="0.2">
      <c r="A204" s="5">
        <v>45129</v>
      </c>
      <c r="B204">
        <v>2023</v>
      </c>
      <c r="C204" s="3" t="s">
        <v>37</v>
      </c>
      <c r="D204" s="3" t="str" cm="1">
        <f t="array" ref="D20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Julio</v>
      </c>
      <c r="E204">
        <v>3</v>
      </c>
      <c r="F204" s="3" t="s">
        <v>31</v>
      </c>
    </row>
    <row r="205" spans="1:6" x14ac:dyDescent="0.2">
      <c r="A205" s="5">
        <v>45130</v>
      </c>
      <c r="B205">
        <v>2023</v>
      </c>
      <c r="C205" s="3" t="s">
        <v>37</v>
      </c>
      <c r="D205" s="3" t="str" cm="1">
        <f t="array" ref="D20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Julio</v>
      </c>
      <c r="E205">
        <v>3</v>
      </c>
      <c r="F205" s="3" t="s">
        <v>25</v>
      </c>
    </row>
    <row r="206" spans="1:6" x14ac:dyDescent="0.2">
      <c r="A206" s="5">
        <v>45131</v>
      </c>
      <c r="B206">
        <v>2023</v>
      </c>
      <c r="C206" s="3" t="s">
        <v>37</v>
      </c>
      <c r="D206" s="3" t="str" cm="1">
        <f t="array" ref="D20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Julio</v>
      </c>
      <c r="E206">
        <v>3</v>
      </c>
      <c r="F206" s="3" t="s">
        <v>26</v>
      </c>
    </row>
    <row r="207" spans="1:6" x14ac:dyDescent="0.2">
      <c r="A207" s="5">
        <v>45132</v>
      </c>
      <c r="B207">
        <v>2023</v>
      </c>
      <c r="C207" s="3" t="s">
        <v>37</v>
      </c>
      <c r="D207" s="3" t="str" cm="1">
        <f t="array" ref="D20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Julio</v>
      </c>
      <c r="E207">
        <v>3</v>
      </c>
      <c r="F207" s="3" t="s">
        <v>27</v>
      </c>
    </row>
    <row r="208" spans="1:6" x14ac:dyDescent="0.2">
      <c r="A208" s="5">
        <v>45133</v>
      </c>
      <c r="B208">
        <v>2023</v>
      </c>
      <c r="C208" s="3" t="s">
        <v>37</v>
      </c>
      <c r="D208" s="3" t="str" cm="1">
        <f t="array" ref="D20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Julio</v>
      </c>
      <c r="E208">
        <v>3</v>
      </c>
      <c r="F208" s="3" t="s">
        <v>28</v>
      </c>
    </row>
    <row r="209" spans="1:6" x14ac:dyDescent="0.2">
      <c r="A209" s="5">
        <v>45134</v>
      </c>
      <c r="B209">
        <v>2023</v>
      </c>
      <c r="C209" s="3" t="s">
        <v>37</v>
      </c>
      <c r="D209" s="3" t="str" cm="1">
        <f t="array" ref="D20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Julio</v>
      </c>
      <c r="E209">
        <v>3</v>
      </c>
      <c r="F209" s="3" t="s">
        <v>29</v>
      </c>
    </row>
    <row r="210" spans="1:6" x14ac:dyDescent="0.2">
      <c r="A210" s="5">
        <v>45135</v>
      </c>
      <c r="B210">
        <v>2023</v>
      </c>
      <c r="C210" s="3" t="s">
        <v>37</v>
      </c>
      <c r="D210" s="3" t="str" cm="1">
        <f t="array" ref="D21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Julio</v>
      </c>
      <c r="E210">
        <v>3</v>
      </c>
      <c r="F210" s="3" t="s">
        <v>30</v>
      </c>
    </row>
    <row r="211" spans="1:6" x14ac:dyDescent="0.2">
      <c r="A211" s="5">
        <v>45136</v>
      </c>
      <c r="B211">
        <v>2023</v>
      </c>
      <c r="C211" s="3" t="s">
        <v>37</v>
      </c>
      <c r="D211" s="3" t="str" cm="1">
        <f t="array" ref="D21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Julio</v>
      </c>
      <c r="E211">
        <v>3</v>
      </c>
      <c r="F211" s="3" t="s">
        <v>31</v>
      </c>
    </row>
    <row r="212" spans="1:6" x14ac:dyDescent="0.2">
      <c r="A212" s="5">
        <v>45137</v>
      </c>
      <c r="B212">
        <v>2023</v>
      </c>
      <c r="C212" s="3" t="s">
        <v>37</v>
      </c>
      <c r="D212" s="3" t="str" cm="1">
        <f t="array" ref="D21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Julio</v>
      </c>
      <c r="E212">
        <v>3</v>
      </c>
      <c r="F212" s="3" t="s">
        <v>25</v>
      </c>
    </row>
    <row r="213" spans="1:6" x14ac:dyDescent="0.2">
      <c r="A213" s="5">
        <v>45138</v>
      </c>
      <c r="B213">
        <v>2023</v>
      </c>
      <c r="C213" s="3" t="s">
        <v>37</v>
      </c>
      <c r="D213" s="3" t="str" cm="1">
        <f t="array" ref="D21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Julio</v>
      </c>
      <c r="E213">
        <v>3</v>
      </c>
      <c r="F213" s="3" t="s">
        <v>26</v>
      </c>
    </row>
    <row r="214" spans="1:6" x14ac:dyDescent="0.2">
      <c r="A214" s="5">
        <v>45139</v>
      </c>
      <c r="B214">
        <v>2023</v>
      </c>
      <c r="C214" s="3" t="s">
        <v>38</v>
      </c>
      <c r="D214" s="3" t="str" cm="1">
        <f t="array" ref="D21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Agosto</v>
      </c>
      <c r="E214">
        <v>3</v>
      </c>
      <c r="F214" s="3" t="s">
        <v>27</v>
      </c>
    </row>
    <row r="215" spans="1:6" x14ac:dyDescent="0.2">
      <c r="A215" s="5">
        <v>45140</v>
      </c>
      <c r="B215">
        <v>2023</v>
      </c>
      <c r="C215" s="3" t="s">
        <v>38</v>
      </c>
      <c r="D215" s="3" t="str" cm="1">
        <f t="array" ref="D21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Agosto</v>
      </c>
      <c r="E215">
        <v>3</v>
      </c>
      <c r="F215" s="3" t="s">
        <v>28</v>
      </c>
    </row>
    <row r="216" spans="1:6" x14ac:dyDescent="0.2">
      <c r="A216" s="5">
        <v>45141</v>
      </c>
      <c r="B216">
        <v>2023</v>
      </c>
      <c r="C216" s="3" t="s">
        <v>38</v>
      </c>
      <c r="D216" s="3" t="str" cm="1">
        <f t="array" ref="D21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Agosto</v>
      </c>
      <c r="E216">
        <v>3</v>
      </c>
      <c r="F216" s="3" t="s">
        <v>29</v>
      </c>
    </row>
    <row r="217" spans="1:6" x14ac:dyDescent="0.2">
      <c r="A217" s="5">
        <v>45142</v>
      </c>
      <c r="B217">
        <v>2023</v>
      </c>
      <c r="C217" s="3" t="s">
        <v>38</v>
      </c>
      <c r="D217" s="3" t="str" cm="1">
        <f t="array" ref="D21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Agosto</v>
      </c>
      <c r="E217">
        <v>3</v>
      </c>
      <c r="F217" s="3" t="s">
        <v>30</v>
      </c>
    </row>
    <row r="218" spans="1:6" x14ac:dyDescent="0.2">
      <c r="A218" s="5">
        <v>45143</v>
      </c>
      <c r="B218">
        <v>2023</v>
      </c>
      <c r="C218" s="3" t="s">
        <v>38</v>
      </c>
      <c r="D218" s="3" t="str" cm="1">
        <f t="array" ref="D21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Agosto</v>
      </c>
      <c r="E218">
        <v>3</v>
      </c>
      <c r="F218" s="3" t="s">
        <v>31</v>
      </c>
    </row>
    <row r="219" spans="1:6" x14ac:dyDescent="0.2">
      <c r="A219" s="5">
        <v>45144</v>
      </c>
      <c r="B219">
        <v>2023</v>
      </c>
      <c r="C219" s="3" t="s">
        <v>38</v>
      </c>
      <c r="D219" s="3" t="str" cm="1">
        <f t="array" ref="D21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Agosto</v>
      </c>
      <c r="E219">
        <v>3</v>
      </c>
      <c r="F219" s="3" t="s">
        <v>25</v>
      </c>
    </row>
    <row r="220" spans="1:6" x14ac:dyDescent="0.2">
      <c r="A220" s="5">
        <v>45145</v>
      </c>
      <c r="B220">
        <v>2023</v>
      </c>
      <c r="C220" s="3" t="s">
        <v>38</v>
      </c>
      <c r="D220" s="3" t="str" cm="1">
        <f t="array" ref="D22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Agosto</v>
      </c>
      <c r="E220">
        <v>3</v>
      </c>
      <c r="F220" s="3" t="s">
        <v>26</v>
      </c>
    </row>
    <row r="221" spans="1:6" x14ac:dyDescent="0.2">
      <c r="A221" s="5">
        <v>45146</v>
      </c>
      <c r="B221">
        <v>2023</v>
      </c>
      <c r="C221" s="3" t="s">
        <v>38</v>
      </c>
      <c r="D221" s="3" t="str" cm="1">
        <f t="array" ref="D22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Agosto</v>
      </c>
      <c r="E221">
        <v>3</v>
      </c>
      <c r="F221" s="3" t="s">
        <v>27</v>
      </c>
    </row>
    <row r="222" spans="1:6" x14ac:dyDescent="0.2">
      <c r="A222" s="5">
        <v>45147</v>
      </c>
      <c r="B222">
        <v>2023</v>
      </c>
      <c r="C222" s="3" t="s">
        <v>38</v>
      </c>
      <c r="D222" s="3" t="str" cm="1">
        <f t="array" ref="D22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Agosto</v>
      </c>
      <c r="E222">
        <v>3</v>
      </c>
      <c r="F222" s="3" t="s">
        <v>28</v>
      </c>
    </row>
    <row r="223" spans="1:6" x14ac:dyDescent="0.2">
      <c r="A223" s="5">
        <v>45148</v>
      </c>
      <c r="B223">
        <v>2023</v>
      </c>
      <c r="C223" s="3" t="s">
        <v>38</v>
      </c>
      <c r="D223" s="3" t="str" cm="1">
        <f t="array" ref="D22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Agosto</v>
      </c>
      <c r="E223">
        <v>3</v>
      </c>
      <c r="F223" s="3" t="s">
        <v>29</v>
      </c>
    </row>
    <row r="224" spans="1:6" x14ac:dyDescent="0.2">
      <c r="A224" s="5">
        <v>45149</v>
      </c>
      <c r="B224">
        <v>2023</v>
      </c>
      <c r="C224" s="3" t="s">
        <v>38</v>
      </c>
      <c r="D224" s="3" t="str" cm="1">
        <f t="array" ref="D22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Agosto</v>
      </c>
      <c r="E224">
        <v>3</v>
      </c>
      <c r="F224" s="3" t="s">
        <v>30</v>
      </c>
    </row>
    <row r="225" spans="1:6" x14ac:dyDescent="0.2">
      <c r="A225" s="5">
        <v>45150</v>
      </c>
      <c r="B225">
        <v>2023</v>
      </c>
      <c r="C225" s="3" t="s">
        <v>38</v>
      </c>
      <c r="D225" s="3" t="str" cm="1">
        <f t="array" ref="D22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Agosto</v>
      </c>
      <c r="E225">
        <v>3</v>
      </c>
      <c r="F225" s="3" t="s">
        <v>31</v>
      </c>
    </row>
    <row r="226" spans="1:6" x14ac:dyDescent="0.2">
      <c r="A226" s="5">
        <v>45151</v>
      </c>
      <c r="B226">
        <v>2023</v>
      </c>
      <c r="C226" s="3" t="s">
        <v>38</v>
      </c>
      <c r="D226" s="3" t="str" cm="1">
        <f t="array" ref="D22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Agosto</v>
      </c>
      <c r="E226">
        <v>3</v>
      </c>
      <c r="F226" s="3" t="s">
        <v>25</v>
      </c>
    </row>
    <row r="227" spans="1:6" x14ac:dyDescent="0.2">
      <c r="A227" s="5">
        <v>45152</v>
      </c>
      <c r="B227">
        <v>2023</v>
      </c>
      <c r="C227" s="3" t="s">
        <v>38</v>
      </c>
      <c r="D227" s="3" t="str" cm="1">
        <f t="array" ref="D22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Agosto</v>
      </c>
      <c r="E227">
        <v>3</v>
      </c>
      <c r="F227" s="3" t="s">
        <v>26</v>
      </c>
    </row>
    <row r="228" spans="1:6" x14ac:dyDescent="0.2">
      <c r="A228" s="5">
        <v>45153</v>
      </c>
      <c r="B228">
        <v>2023</v>
      </c>
      <c r="C228" s="3" t="s">
        <v>38</v>
      </c>
      <c r="D228" s="3" t="str" cm="1">
        <f t="array" ref="D22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Agosto</v>
      </c>
      <c r="E228">
        <v>3</v>
      </c>
      <c r="F228" s="3" t="s">
        <v>27</v>
      </c>
    </row>
    <row r="229" spans="1:6" x14ac:dyDescent="0.2">
      <c r="A229" s="5">
        <v>45154</v>
      </c>
      <c r="B229">
        <v>2023</v>
      </c>
      <c r="C229" s="3" t="s">
        <v>38</v>
      </c>
      <c r="D229" s="3" t="str" cm="1">
        <f t="array" ref="D22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Agosto</v>
      </c>
      <c r="E229">
        <v>3</v>
      </c>
      <c r="F229" s="3" t="s">
        <v>28</v>
      </c>
    </row>
    <row r="230" spans="1:6" x14ac:dyDescent="0.2">
      <c r="A230" s="5">
        <v>45155</v>
      </c>
      <c r="B230">
        <v>2023</v>
      </c>
      <c r="C230" s="3" t="s">
        <v>38</v>
      </c>
      <c r="D230" s="3" t="str" cm="1">
        <f t="array" ref="D23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Agosto</v>
      </c>
      <c r="E230">
        <v>3</v>
      </c>
      <c r="F230" s="3" t="s">
        <v>29</v>
      </c>
    </row>
    <row r="231" spans="1:6" x14ac:dyDescent="0.2">
      <c r="A231" s="5">
        <v>45156</v>
      </c>
      <c r="B231">
        <v>2023</v>
      </c>
      <c r="C231" s="3" t="s">
        <v>38</v>
      </c>
      <c r="D231" s="3" t="str" cm="1">
        <f t="array" ref="D23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Agosto</v>
      </c>
      <c r="E231">
        <v>3</v>
      </c>
      <c r="F231" s="3" t="s">
        <v>30</v>
      </c>
    </row>
    <row r="232" spans="1:6" x14ac:dyDescent="0.2">
      <c r="A232" s="5">
        <v>45157</v>
      </c>
      <c r="B232">
        <v>2023</v>
      </c>
      <c r="C232" s="3" t="s">
        <v>38</v>
      </c>
      <c r="D232" s="3" t="str" cm="1">
        <f t="array" ref="D23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Agosto</v>
      </c>
      <c r="E232">
        <v>3</v>
      </c>
      <c r="F232" s="3" t="s">
        <v>31</v>
      </c>
    </row>
    <row r="233" spans="1:6" x14ac:dyDescent="0.2">
      <c r="A233" s="5">
        <v>45158</v>
      </c>
      <c r="B233">
        <v>2023</v>
      </c>
      <c r="C233" s="3" t="s">
        <v>38</v>
      </c>
      <c r="D233" s="3" t="str" cm="1">
        <f t="array" ref="D23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Agosto</v>
      </c>
      <c r="E233">
        <v>3</v>
      </c>
      <c r="F233" s="3" t="s">
        <v>25</v>
      </c>
    </row>
    <row r="234" spans="1:6" x14ac:dyDescent="0.2">
      <c r="A234" s="5">
        <v>45159</v>
      </c>
      <c r="B234">
        <v>2023</v>
      </c>
      <c r="C234" s="3" t="s">
        <v>38</v>
      </c>
      <c r="D234" s="3" t="str" cm="1">
        <f t="array" ref="D23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Agosto</v>
      </c>
      <c r="E234">
        <v>3</v>
      </c>
      <c r="F234" s="3" t="s">
        <v>26</v>
      </c>
    </row>
    <row r="235" spans="1:6" x14ac:dyDescent="0.2">
      <c r="A235" s="5">
        <v>45160</v>
      </c>
      <c r="B235">
        <v>2023</v>
      </c>
      <c r="C235" s="3" t="s">
        <v>38</v>
      </c>
      <c r="D235" s="3" t="str" cm="1">
        <f t="array" ref="D23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Agosto</v>
      </c>
      <c r="E235">
        <v>3</v>
      </c>
      <c r="F235" s="3" t="s">
        <v>27</v>
      </c>
    </row>
    <row r="236" spans="1:6" x14ac:dyDescent="0.2">
      <c r="A236" s="5">
        <v>45161</v>
      </c>
      <c r="B236">
        <v>2023</v>
      </c>
      <c r="C236" s="3" t="s">
        <v>38</v>
      </c>
      <c r="D236" s="3" t="str" cm="1">
        <f t="array" ref="D23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Agosto</v>
      </c>
      <c r="E236">
        <v>3</v>
      </c>
      <c r="F236" s="3" t="s">
        <v>28</v>
      </c>
    </row>
    <row r="237" spans="1:6" x14ac:dyDescent="0.2">
      <c r="A237" s="5">
        <v>45162</v>
      </c>
      <c r="B237">
        <v>2023</v>
      </c>
      <c r="C237" s="3" t="s">
        <v>38</v>
      </c>
      <c r="D237" s="3" t="str" cm="1">
        <f t="array" ref="D23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Agosto</v>
      </c>
      <c r="E237">
        <v>3</v>
      </c>
      <c r="F237" s="3" t="s">
        <v>29</v>
      </c>
    </row>
    <row r="238" spans="1:6" x14ac:dyDescent="0.2">
      <c r="A238" s="5">
        <v>45163</v>
      </c>
      <c r="B238">
        <v>2023</v>
      </c>
      <c r="C238" s="3" t="s">
        <v>38</v>
      </c>
      <c r="D238" s="3" t="str" cm="1">
        <f t="array" ref="D23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Agosto</v>
      </c>
      <c r="E238">
        <v>3</v>
      </c>
      <c r="F238" s="3" t="s">
        <v>30</v>
      </c>
    </row>
    <row r="239" spans="1:6" x14ac:dyDescent="0.2">
      <c r="A239" s="5">
        <v>45164</v>
      </c>
      <c r="B239">
        <v>2023</v>
      </c>
      <c r="C239" s="3" t="s">
        <v>38</v>
      </c>
      <c r="D239" s="3" t="str" cm="1">
        <f t="array" ref="D23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Agosto</v>
      </c>
      <c r="E239">
        <v>3</v>
      </c>
      <c r="F239" s="3" t="s">
        <v>31</v>
      </c>
    </row>
    <row r="240" spans="1:6" x14ac:dyDescent="0.2">
      <c r="A240" s="5">
        <v>45165</v>
      </c>
      <c r="B240">
        <v>2023</v>
      </c>
      <c r="C240" s="3" t="s">
        <v>38</v>
      </c>
      <c r="D240" s="3" t="str" cm="1">
        <f t="array" ref="D24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Agosto</v>
      </c>
      <c r="E240">
        <v>3</v>
      </c>
      <c r="F240" s="3" t="s">
        <v>25</v>
      </c>
    </row>
    <row r="241" spans="1:6" x14ac:dyDescent="0.2">
      <c r="A241" s="5">
        <v>45166</v>
      </c>
      <c r="B241">
        <v>2023</v>
      </c>
      <c r="C241" s="3" t="s">
        <v>38</v>
      </c>
      <c r="D241" s="3" t="str" cm="1">
        <f t="array" ref="D24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Agosto</v>
      </c>
      <c r="E241">
        <v>3</v>
      </c>
      <c r="F241" s="3" t="s">
        <v>26</v>
      </c>
    </row>
    <row r="242" spans="1:6" x14ac:dyDescent="0.2">
      <c r="A242" s="5">
        <v>45167</v>
      </c>
      <c r="B242">
        <v>2023</v>
      </c>
      <c r="C242" s="3" t="s">
        <v>38</v>
      </c>
      <c r="D242" s="3" t="str" cm="1">
        <f t="array" ref="D24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Agosto</v>
      </c>
      <c r="E242">
        <v>3</v>
      </c>
      <c r="F242" s="3" t="s">
        <v>27</v>
      </c>
    </row>
    <row r="243" spans="1:6" x14ac:dyDescent="0.2">
      <c r="A243" s="5">
        <v>45168</v>
      </c>
      <c r="B243">
        <v>2023</v>
      </c>
      <c r="C243" s="3" t="s">
        <v>38</v>
      </c>
      <c r="D243" s="3" t="str" cm="1">
        <f t="array" ref="D24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Agosto</v>
      </c>
      <c r="E243">
        <v>3</v>
      </c>
      <c r="F243" s="3" t="s">
        <v>28</v>
      </c>
    </row>
    <row r="244" spans="1:6" x14ac:dyDescent="0.2">
      <c r="A244" s="5">
        <v>45169</v>
      </c>
      <c r="B244">
        <v>2023</v>
      </c>
      <c r="C244" s="3" t="s">
        <v>38</v>
      </c>
      <c r="D244" s="3" t="str" cm="1">
        <f t="array" ref="D24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Agosto</v>
      </c>
      <c r="E244">
        <v>3</v>
      </c>
      <c r="F244" s="3" t="s">
        <v>29</v>
      </c>
    </row>
    <row r="245" spans="1:6" x14ac:dyDescent="0.2">
      <c r="A245" s="5">
        <v>45170</v>
      </c>
      <c r="B245">
        <v>2023</v>
      </c>
      <c r="C245" s="3" t="s">
        <v>39</v>
      </c>
      <c r="D245" s="3" t="str" cm="1">
        <f t="array" ref="D24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Septiembre</v>
      </c>
      <c r="E245">
        <v>3</v>
      </c>
      <c r="F245" s="3" t="s">
        <v>30</v>
      </c>
    </row>
    <row r="246" spans="1:6" x14ac:dyDescent="0.2">
      <c r="A246" s="5">
        <v>45171</v>
      </c>
      <c r="B246">
        <v>2023</v>
      </c>
      <c r="C246" s="3" t="s">
        <v>39</v>
      </c>
      <c r="D246" s="3" t="str" cm="1">
        <f t="array" ref="D24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Septiembre</v>
      </c>
      <c r="E246">
        <v>3</v>
      </c>
      <c r="F246" s="3" t="s">
        <v>31</v>
      </c>
    </row>
    <row r="247" spans="1:6" x14ac:dyDescent="0.2">
      <c r="A247" s="5">
        <v>45172</v>
      </c>
      <c r="B247">
        <v>2023</v>
      </c>
      <c r="C247" s="3" t="s">
        <v>39</v>
      </c>
      <c r="D247" s="3" t="str" cm="1">
        <f t="array" ref="D24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Septiembre</v>
      </c>
      <c r="E247">
        <v>3</v>
      </c>
      <c r="F247" s="3" t="s">
        <v>25</v>
      </c>
    </row>
    <row r="248" spans="1:6" x14ac:dyDescent="0.2">
      <c r="A248" s="5">
        <v>45173</v>
      </c>
      <c r="B248">
        <v>2023</v>
      </c>
      <c r="C248" s="3" t="s">
        <v>39</v>
      </c>
      <c r="D248" s="3" t="str" cm="1">
        <f t="array" ref="D24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Septiembre</v>
      </c>
      <c r="E248">
        <v>3</v>
      </c>
      <c r="F248" s="3" t="s">
        <v>26</v>
      </c>
    </row>
    <row r="249" spans="1:6" x14ac:dyDescent="0.2">
      <c r="A249" s="5">
        <v>45174</v>
      </c>
      <c r="B249">
        <v>2023</v>
      </c>
      <c r="C249" s="3" t="s">
        <v>39</v>
      </c>
      <c r="D249" s="3" t="str" cm="1">
        <f t="array" ref="D24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Septiembre</v>
      </c>
      <c r="E249">
        <v>3</v>
      </c>
      <c r="F249" s="3" t="s">
        <v>27</v>
      </c>
    </row>
    <row r="250" spans="1:6" x14ac:dyDescent="0.2">
      <c r="A250" s="5">
        <v>45175</v>
      </c>
      <c r="B250">
        <v>2023</v>
      </c>
      <c r="C250" s="3" t="s">
        <v>39</v>
      </c>
      <c r="D250" s="3" t="str" cm="1">
        <f t="array" ref="D25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Septiembre</v>
      </c>
      <c r="E250">
        <v>3</v>
      </c>
      <c r="F250" s="3" t="s">
        <v>28</v>
      </c>
    </row>
    <row r="251" spans="1:6" x14ac:dyDescent="0.2">
      <c r="A251" s="5">
        <v>45176</v>
      </c>
      <c r="B251">
        <v>2023</v>
      </c>
      <c r="C251" s="3" t="s">
        <v>39</v>
      </c>
      <c r="D251" s="3" t="str" cm="1">
        <f t="array" ref="D25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Septiembre</v>
      </c>
      <c r="E251">
        <v>3</v>
      </c>
      <c r="F251" s="3" t="s">
        <v>29</v>
      </c>
    </row>
    <row r="252" spans="1:6" x14ac:dyDescent="0.2">
      <c r="A252" s="5">
        <v>45177</v>
      </c>
      <c r="B252">
        <v>2023</v>
      </c>
      <c r="C252" s="3" t="s">
        <v>39</v>
      </c>
      <c r="D252" s="3" t="str" cm="1">
        <f t="array" ref="D25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Septiembre</v>
      </c>
      <c r="E252">
        <v>3</v>
      </c>
      <c r="F252" s="3" t="s">
        <v>30</v>
      </c>
    </row>
    <row r="253" spans="1:6" x14ac:dyDescent="0.2">
      <c r="A253" s="5">
        <v>45178</v>
      </c>
      <c r="B253">
        <v>2023</v>
      </c>
      <c r="C253" s="3" t="s">
        <v>39</v>
      </c>
      <c r="D253" s="3" t="str" cm="1">
        <f t="array" ref="D25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Septiembre</v>
      </c>
      <c r="E253">
        <v>3</v>
      </c>
      <c r="F253" s="3" t="s">
        <v>31</v>
      </c>
    </row>
    <row r="254" spans="1:6" x14ac:dyDescent="0.2">
      <c r="A254" s="5">
        <v>45179</v>
      </c>
      <c r="B254">
        <v>2023</v>
      </c>
      <c r="C254" s="3" t="s">
        <v>39</v>
      </c>
      <c r="D254" s="3" t="str" cm="1">
        <f t="array" ref="D25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Septiembre</v>
      </c>
      <c r="E254">
        <v>3</v>
      </c>
      <c r="F254" s="3" t="s">
        <v>25</v>
      </c>
    </row>
    <row r="255" spans="1:6" x14ac:dyDescent="0.2">
      <c r="A255" s="5">
        <v>45180</v>
      </c>
      <c r="B255">
        <v>2023</v>
      </c>
      <c r="C255" s="3" t="s">
        <v>39</v>
      </c>
      <c r="D255" s="3" t="str" cm="1">
        <f t="array" ref="D25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Septiembre</v>
      </c>
      <c r="E255">
        <v>3</v>
      </c>
      <c r="F255" s="3" t="s">
        <v>26</v>
      </c>
    </row>
    <row r="256" spans="1:6" x14ac:dyDescent="0.2">
      <c r="A256" s="5">
        <v>45181</v>
      </c>
      <c r="B256">
        <v>2023</v>
      </c>
      <c r="C256" s="3" t="s">
        <v>39</v>
      </c>
      <c r="D256" s="3" t="str" cm="1">
        <f t="array" ref="D25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Septiembre</v>
      </c>
      <c r="E256">
        <v>3</v>
      </c>
      <c r="F256" s="3" t="s">
        <v>27</v>
      </c>
    </row>
    <row r="257" spans="1:6" x14ac:dyDescent="0.2">
      <c r="A257" s="5">
        <v>45182</v>
      </c>
      <c r="B257">
        <v>2023</v>
      </c>
      <c r="C257" s="3" t="s">
        <v>39</v>
      </c>
      <c r="D257" s="3" t="str" cm="1">
        <f t="array" ref="D25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Septiembre</v>
      </c>
      <c r="E257">
        <v>3</v>
      </c>
      <c r="F257" s="3" t="s">
        <v>28</v>
      </c>
    </row>
    <row r="258" spans="1:6" x14ac:dyDescent="0.2">
      <c r="A258" s="5">
        <v>45183</v>
      </c>
      <c r="B258">
        <v>2023</v>
      </c>
      <c r="C258" s="3" t="s">
        <v>39</v>
      </c>
      <c r="D258" s="3" t="str" cm="1">
        <f t="array" ref="D25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Septiembre</v>
      </c>
      <c r="E258">
        <v>3</v>
      </c>
      <c r="F258" s="3" t="s">
        <v>29</v>
      </c>
    </row>
    <row r="259" spans="1:6" x14ac:dyDescent="0.2">
      <c r="A259" s="5">
        <v>45184</v>
      </c>
      <c r="B259">
        <v>2023</v>
      </c>
      <c r="C259" s="3" t="s">
        <v>39</v>
      </c>
      <c r="D259" s="3" t="str" cm="1">
        <f t="array" ref="D25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Septiembre</v>
      </c>
      <c r="E259">
        <v>3</v>
      </c>
      <c r="F259" s="3" t="s">
        <v>30</v>
      </c>
    </row>
    <row r="260" spans="1:6" x14ac:dyDescent="0.2">
      <c r="A260" s="5">
        <v>45185</v>
      </c>
      <c r="B260">
        <v>2023</v>
      </c>
      <c r="C260" s="3" t="s">
        <v>39</v>
      </c>
      <c r="D260" s="3" t="str" cm="1">
        <f t="array" ref="D26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Septiembre</v>
      </c>
      <c r="E260">
        <v>3</v>
      </c>
      <c r="F260" s="3" t="s">
        <v>31</v>
      </c>
    </row>
    <row r="261" spans="1:6" x14ac:dyDescent="0.2">
      <c r="A261" s="5">
        <v>45186</v>
      </c>
      <c r="B261">
        <v>2023</v>
      </c>
      <c r="C261" s="3" t="s">
        <v>39</v>
      </c>
      <c r="D261" s="3" t="str" cm="1">
        <f t="array" ref="D26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Septiembre</v>
      </c>
      <c r="E261">
        <v>3</v>
      </c>
      <c r="F261" s="3" t="s">
        <v>25</v>
      </c>
    </row>
    <row r="262" spans="1:6" x14ac:dyDescent="0.2">
      <c r="A262" s="5">
        <v>45187</v>
      </c>
      <c r="B262">
        <v>2023</v>
      </c>
      <c r="C262" s="3" t="s">
        <v>39</v>
      </c>
      <c r="D262" s="3" t="str" cm="1">
        <f t="array" ref="D26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Septiembre</v>
      </c>
      <c r="E262">
        <v>3</v>
      </c>
      <c r="F262" s="3" t="s">
        <v>26</v>
      </c>
    </row>
    <row r="263" spans="1:6" x14ac:dyDescent="0.2">
      <c r="A263" s="5">
        <v>45188</v>
      </c>
      <c r="B263">
        <v>2023</v>
      </c>
      <c r="C263" s="3" t="s">
        <v>39</v>
      </c>
      <c r="D263" s="3" t="str" cm="1">
        <f t="array" ref="D26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Septiembre</v>
      </c>
      <c r="E263">
        <v>3</v>
      </c>
      <c r="F263" s="3" t="s">
        <v>27</v>
      </c>
    </row>
    <row r="264" spans="1:6" x14ac:dyDescent="0.2">
      <c r="A264" s="5">
        <v>45189</v>
      </c>
      <c r="B264">
        <v>2023</v>
      </c>
      <c r="C264" s="3" t="s">
        <v>39</v>
      </c>
      <c r="D264" s="3" t="str" cm="1">
        <f t="array" ref="D26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Septiembre</v>
      </c>
      <c r="E264">
        <v>3</v>
      </c>
      <c r="F264" s="3" t="s">
        <v>28</v>
      </c>
    </row>
    <row r="265" spans="1:6" x14ac:dyDescent="0.2">
      <c r="A265" s="5">
        <v>45190</v>
      </c>
      <c r="B265">
        <v>2023</v>
      </c>
      <c r="C265" s="3" t="s">
        <v>39</v>
      </c>
      <c r="D265" s="3" t="str" cm="1">
        <f t="array" ref="D26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Septiembre</v>
      </c>
      <c r="E265">
        <v>3</v>
      </c>
      <c r="F265" s="3" t="s">
        <v>29</v>
      </c>
    </row>
    <row r="266" spans="1:6" x14ac:dyDescent="0.2">
      <c r="A266" s="5">
        <v>45191</v>
      </c>
      <c r="B266">
        <v>2023</v>
      </c>
      <c r="C266" s="3" t="s">
        <v>39</v>
      </c>
      <c r="D266" s="3" t="str" cm="1">
        <f t="array" ref="D26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Septiembre</v>
      </c>
      <c r="E266">
        <v>3</v>
      </c>
      <c r="F266" s="3" t="s">
        <v>30</v>
      </c>
    </row>
    <row r="267" spans="1:6" x14ac:dyDescent="0.2">
      <c r="A267" s="5">
        <v>45192</v>
      </c>
      <c r="B267">
        <v>2023</v>
      </c>
      <c r="C267" s="3" t="s">
        <v>39</v>
      </c>
      <c r="D267" s="3" t="str" cm="1">
        <f t="array" ref="D26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Septiembre</v>
      </c>
      <c r="E267">
        <v>3</v>
      </c>
      <c r="F267" s="3" t="s">
        <v>31</v>
      </c>
    </row>
    <row r="268" spans="1:6" x14ac:dyDescent="0.2">
      <c r="A268" s="5">
        <v>45193</v>
      </c>
      <c r="B268">
        <v>2023</v>
      </c>
      <c r="C268" s="3" t="s">
        <v>39</v>
      </c>
      <c r="D268" s="3" t="str" cm="1">
        <f t="array" ref="D26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Septiembre</v>
      </c>
      <c r="E268">
        <v>3</v>
      </c>
      <c r="F268" s="3" t="s">
        <v>25</v>
      </c>
    </row>
    <row r="269" spans="1:6" x14ac:dyDescent="0.2">
      <c r="A269" s="5">
        <v>45194</v>
      </c>
      <c r="B269">
        <v>2023</v>
      </c>
      <c r="C269" s="3" t="s">
        <v>39</v>
      </c>
      <c r="D269" s="3" t="str" cm="1">
        <f t="array" ref="D26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Septiembre</v>
      </c>
      <c r="E269">
        <v>3</v>
      </c>
      <c r="F269" s="3" t="s">
        <v>26</v>
      </c>
    </row>
    <row r="270" spans="1:6" x14ac:dyDescent="0.2">
      <c r="A270" s="5">
        <v>45195</v>
      </c>
      <c r="B270">
        <v>2023</v>
      </c>
      <c r="C270" s="3" t="s">
        <v>39</v>
      </c>
      <c r="D270" s="3" t="str" cm="1">
        <f t="array" ref="D27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Septiembre</v>
      </c>
      <c r="E270">
        <v>3</v>
      </c>
      <c r="F270" s="3" t="s">
        <v>27</v>
      </c>
    </row>
    <row r="271" spans="1:6" x14ac:dyDescent="0.2">
      <c r="A271" s="5">
        <v>45196</v>
      </c>
      <c r="B271">
        <v>2023</v>
      </c>
      <c r="C271" s="3" t="s">
        <v>39</v>
      </c>
      <c r="D271" s="3" t="str" cm="1">
        <f t="array" ref="D27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Septiembre</v>
      </c>
      <c r="E271">
        <v>3</v>
      </c>
      <c r="F271" s="3" t="s">
        <v>28</v>
      </c>
    </row>
    <row r="272" spans="1:6" x14ac:dyDescent="0.2">
      <c r="A272" s="5">
        <v>45197</v>
      </c>
      <c r="B272">
        <v>2023</v>
      </c>
      <c r="C272" s="3" t="s">
        <v>39</v>
      </c>
      <c r="D272" s="3" t="str" cm="1">
        <f t="array" ref="D27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Septiembre</v>
      </c>
      <c r="E272">
        <v>3</v>
      </c>
      <c r="F272" s="3" t="s">
        <v>29</v>
      </c>
    </row>
    <row r="273" spans="1:6" x14ac:dyDescent="0.2">
      <c r="A273" s="5">
        <v>45198</v>
      </c>
      <c r="B273">
        <v>2023</v>
      </c>
      <c r="C273" s="3" t="s">
        <v>39</v>
      </c>
      <c r="D273" s="3" t="str" cm="1">
        <f t="array" ref="D27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Septiembre</v>
      </c>
      <c r="E273">
        <v>3</v>
      </c>
      <c r="F273" s="3" t="s">
        <v>30</v>
      </c>
    </row>
    <row r="274" spans="1:6" x14ac:dyDescent="0.2">
      <c r="A274" s="5">
        <v>45199</v>
      </c>
      <c r="B274">
        <v>2023</v>
      </c>
      <c r="C274" s="3" t="s">
        <v>39</v>
      </c>
      <c r="D274" s="3" t="str" cm="1">
        <f t="array" ref="D27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Septiembre</v>
      </c>
      <c r="E274">
        <v>3</v>
      </c>
      <c r="F274" s="3" t="s">
        <v>31</v>
      </c>
    </row>
    <row r="275" spans="1:6" x14ac:dyDescent="0.2">
      <c r="A275" s="5">
        <v>45200</v>
      </c>
      <c r="B275">
        <v>2023</v>
      </c>
      <c r="C275" s="3" t="s">
        <v>40</v>
      </c>
      <c r="D275" s="3" t="str" cm="1">
        <f t="array" ref="D27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Octubre</v>
      </c>
      <c r="E275">
        <v>4</v>
      </c>
      <c r="F275" s="3" t="s">
        <v>25</v>
      </c>
    </row>
    <row r="276" spans="1:6" x14ac:dyDescent="0.2">
      <c r="A276" s="5">
        <v>45201</v>
      </c>
      <c r="B276">
        <v>2023</v>
      </c>
      <c r="C276" s="3" t="s">
        <v>40</v>
      </c>
      <c r="D276" s="3" t="str" cm="1">
        <f t="array" ref="D27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Octubre</v>
      </c>
      <c r="E276">
        <v>4</v>
      </c>
      <c r="F276" s="3" t="s">
        <v>26</v>
      </c>
    </row>
    <row r="277" spans="1:6" x14ac:dyDescent="0.2">
      <c r="A277" s="5">
        <v>45202</v>
      </c>
      <c r="B277">
        <v>2023</v>
      </c>
      <c r="C277" s="3" t="s">
        <v>40</v>
      </c>
      <c r="D277" s="3" t="str" cm="1">
        <f t="array" ref="D27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Octubre</v>
      </c>
      <c r="E277">
        <v>4</v>
      </c>
      <c r="F277" s="3" t="s">
        <v>27</v>
      </c>
    </row>
    <row r="278" spans="1:6" x14ac:dyDescent="0.2">
      <c r="A278" s="5">
        <v>45203</v>
      </c>
      <c r="B278">
        <v>2023</v>
      </c>
      <c r="C278" s="3" t="s">
        <v>40</v>
      </c>
      <c r="D278" s="3" t="str" cm="1">
        <f t="array" ref="D27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Octubre</v>
      </c>
      <c r="E278">
        <v>4</v>
      </c>
      <c r="F278" s="3" t="s">
        <v>28</v>
      </c>
    </row>
    <row r="279" spans="1:6" x14ac:dyDescent="0.2">
      <c r="A279" s="5">
        <v>45204</v>
      </c>
      <c r="B279">
        <v>2023</v>
      </c>
      <c r="C279" s="3" t="s">
        <v>40</v>
      </c>
      <c r="D279" s="3" t="str" cm="1">
        <f t="array" ref="D27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Octubre</v>
      </c>
      <c r="E279">
        <v>4</v>
      </c>
      <c r="F279" s="3" t="s">
        <v>29</v>
      </c>
    </row>
    <row r="280" spans="1:6" x14ac:dyDescent="0.2">
      <c r="A280" s="5">
        <v>45205</v>
      </c>
      <c r="B280">
        <v>2023</v>
      </c>
      <c r="C280" s="3" t="s">
        <v>40</v>
      </c>
      <c r="D280" s="3" t="str" cm="1">
        <f t="array" ref="D28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Octubre</v>
      </c>
      <c r="E280">
        <v>4</v>
      </c>
      <c r="F280" s="3" t="s">
        <v>30</v>
      </c>
    </row>
    <row r="281" spans="1:6" x14ac:dyDescent="0.2">
      <c r="A281" s="5">
        <v>45206</v>
      </c>
      <c r="B281">
        <v>2023</v>
      </c>
      <c r="C281" s="3" t="s">
        <v>40</v>
      </c>
      <c r="D281" s="3" t="str" cm="1">
        <f t="array" ref="D28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Octubre</v>
      </c>
      <c r="E281">
        <v>4</v>
      </c>
      <c r="F281" s="3" t="s">
        <v>31</v>
      </c>
    </row>
    <row r="282" spans="1:6" x14ac:dyDescent="0.2">
      <c r="A282" s="5">
        <v>45207</v>
      </c>
      <c r="B282">
        <v>2023</v>
      </c>
      <c r="C282" s="3" t="s">
        <v>40</v>
      </c>
      <c r="D282" s="3" t="str" cm="1">
        <f t="array" ref="D28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Octubre</v>
      </c>
      <c r="E282">
        <v>4</v>
      </c>
      <c r="F282" s="3" t="s">
        <v>25</v>
      </c>
    </row>
    <row r="283" spans="1:6" x14ac:dyDescent="0.2">
      <c r="A283" s="5">
        <v>45208</v>
      </c>
      <c r="B283">
        <v>2023</v>
      </c>
      <c r="C283" s="3" t="s">
        <v>40</v>
      </c>
      <c r="D283" s="3" t="str" cm="1">
        <f t="array" ref="D28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Octubre</v>
      </c>
      <c r="E283">
        <v>4</v>
      </c>
      <c r="F283" s="3" t="s">
        <v>26</v>
      </c>
    </row>
    <row r="284" spans="1:6" x14ac:dyDescent="0.2">
      <c r="A284" s="5">
        <v>45209</v>
      </c>
      <c r="B284">
        <v>2023</v>
      </c>
      <c r="C284" s="3" t="s">
        <v>40</v>
      </c>
      <c r="D284" s="3" t="str" cm="1">
        <f t="array" ref="D28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Octubre</v>
      </c>
      <c r="E284">
        <v>4</v>
      </c>
      <c r="F284" s="3" t="s">
        <v>27</v>
      </c>
    </row>
    <row r="285" spans="1:6" x14ac:dyDescent="0.2">
      <c r="A285" s="5">
        <v>45210</v>
      </c>
      <c r="B285">
        <v>2023</v>
      </c>
      <c r="C285" s="3" t="s">
        <v>40</v>
      </c>
      <c r="D285" s="3" t="str" cm="1">
        <f t="array" ref="D28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Octubre</v>
      </c>
      <c r="E285">
        <v>4</v>
      </c>
      <c r="F285" s="3" t="s">
        <v>28</v>
      </c>
    </row>
    <row r="286" spans="1:6" x14ac:dyDescent="0.2">
      <c r="A286" s="5">
        <v>45211</v>
      </c>
      <c r="B286">
        <v>2023</v>
      </c>
      <c r="C286" s="3" t="s">
        <v>40</v>
      </c>
      <c r="D286" s="3" t="str" cm="1">
        <f t="array" ref="D28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Octubre</v>
      </c>
      <c r="E286">
        <v>4</v>
      </c>
      <c r="F286" s="3" t="s">
        <v>29</v>
      </c>
    </row>
    <row r="287" spans="1:6" x14ac:dyDescent="0.2">
      <c r="A287" s="5">
        <v>45212</v>
      </c>
      <c r="B287">
        <v>2023</v>
      </c>
      <c r="C287" s="3" t="s">
        <v>40</v>
      </c>
      <c r="D287" s="3" t="str" cm="1">
        <f t="array" ref="D28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Octubre</v>
      </c>
      <c r="E287">
        <v>4</v>
      </c>
      <c r="F287" s="3" t="s">
        <v>30</v>
      </c>
    </row>
    <row r="288" spans="1:6" x14ac:dyDescent="0.2">
      <c r="A288" s="5">
        <v>45213</v>
      </c>
      <c r="B288">
        <v>2023</v>
      </c>
      <c r="C288" s="3" t="s">
        <v>40</v>
      </c>
      <c r="D288" s="3" t="str" cm="1">
        <f t="array" ref="D28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Octubre</v>
      </c>
      <c r="E288">
        <v>4</v>
      </c>
      <c r="F288" s="3" t="s">
        <v>31</v>
      </c>
    </row>
    <row r="289" spans="1:6" x14ac:dyDescent="0.2">
      <c r="A289" s="5">
        <v>45214</v>
      </c>
      <c r="B289">
        <v>2023</v>
      </c>
      <c r="C289" s="3" t="s">
        <v>40</v>
      </c>
      <c r="D289" s="3" t="str" cm="1">
        <f t="array" ref="D28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Octubre</v>
      </c>
      <c r="E289">
        <v>4</v>
      </c>
      <c r="F289" s="3" t="s">
        <v>25</v>
      </c>
    </row>
    <row r="290" spans="1:6" x14ac:dyDescent="0.2">
      <c r="A290" s="5">
        <v>45215</v>
      </c>
      <c r="B290">
        <v>2023</v>
      </c>
      <c r="C290" s="3" t="s">
        <v>40</v>
      </c>
      <c r="D290" s="3" t="str" cm="1">
        <f t="array" ref="D29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Octubre</v>
      </c>
      <c r="E290">
        <v>4</v>
      </c>
      <c r="F290" s="3" t="s">
        <v>26</v>
      </c>
    </row>
    <row r="291" spans="1:6" x14ac:dyDescent="0.2">
      <c r="A291" s="5">
        <v>45216</v>
      </c>
      <c r="B291">
        <v>2023</v>
      </c>
      <c r="C291" s="3" t="s">
        <v>40</v>
      </c>
      <c r="D291" s="3" t="str" cm="1">
        <f t="array" ref="D29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Octubre</v>
      </c>
      <c r="E291">
        <v>4</v>
      </c>
      <c r="F291" s="3" t="s">
        <v>27</v>
      </c>
    </row>
    <row r="292" spans="1:6" x14ac:dyDescent="0.2">
      <c r="A292" s="5">
        <v>45217</v>
      </c>
      <c r="B292">
        <v>2023</v>
      </c>
      <c r="C292" s="3" t="s">
        <v>40</v>
      </c>
      <c r="D292" s="3" t="str" cm="1">
        <f t="array" ref="D29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Octubre</v>
      </c>
      <c r="E292">
        <v>4</v>
      </c>
      <c r="F292" s="3" t="s">
        <v>28</v>
      </c>
    </row>
    <row r="293" spans="1:6" x14ac:dyDescent="0.2">
      <c r="A293" s="5">
        <v>45218</v>
      </c>
      <c r="B293">
        <v>2023</v>
      </c>
      <c r="C293" s="3" t="s">
        <v>40</v>
      </c>
      <c r="D293" s="3" t="str" cm="1">
        <f t="array" ref="D29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Octubre</v>
      </c>
      <c r="E293">
        <v>4</v>
      </c>
      <c r="F293" s="3" t="s">
        <v>29</v>
      </c>
    </row>
    <row r="294" spans="1:6" x14ac:dyDescent="0.2">
      <c r="A294" s="5">
        <v>45219</v>
      </c>
      <c r="B294">
        <v>2023</v>
      </c>
      <c r="C294" s="3" t="s">
        <v>40</v>
      </c>
      <c r="D294" s="3" t="str" cm="1">
        <f t="array" ref="D29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Octubre</v>
      </c>
      <c r="E294">
        <v>4</v>
      </c>
      <c r="F294" s="3" t="s">
        <v>30</v>
      </c>
    </row>
    <row r="295" spans="1:6" x14ac:dyDescent="0.2">
      <c r="A295" s="5">
        <v>45220</v>
      </c>
      <c r="B295">
        <v>2023</v>
      </c>
      <c r="C295" s="3" t="s">
        <v>40</v>
      </c>
      <c r="D295" s="3" t="str" cm="1">
        <f t="array" ref="D29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Octubre</v>
      </c>
      <c r="E295">
        <v>4</v>
      </c>
      <c r="F295" s="3" t="s">
        <v>31</v>
      </c>
    </row>
    <row r="296" spans="1:6" x14ac:dyDescent="0.2">
      <c r="A296" s="5">
        <v>45221</v>
      </c>
      <c r="B296">
        <v>2023</v>
      </c>
      <c r="C296" s="3" t="s">
        <v>40</v>
      </c>
      <c r="D296" s="3" t="str" cm="1">
        <f t="array" ref="D29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Octubre</v>
      </c>
      <c r="E296">
        <v>4</v>
      </c>
      <c r="F296" s="3" t="s">
        <v>25</v>
      </c>
    </row>
    <row r="297" spans="1:6" x14ac:dyDescent="0.2">
      <c r="A297" s="5">
        <v>45222</v>
      </c>
      <c r="B297">
        <v>2023</v>
      </c>
      <c r="C297" s="3" t="s">
        <v>40</v>
      </c>
      <c r="D297" s="3" t="str" cm="1">
        <f t="array" ref="D29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Octubre</v>
      </c>
      <c r="E297">
        <v>4</v>
      </c>
      <c r="F297" s="3" t="s">
        <v>26</v>
      </c>
    </row>
    <row r="298" spans="1:6" x14ac:dyDescent="0.2">
      <c r="A298" s="5">
        <v>45223</v>
      </c>
      <c r="B298">
        <v>2023</v>
      </c>
      <c r="C298" s="3" t="s">
        <v>40</v>
      </c>
      <c r="D298" s="3" t="str" cm="1">
        <f t="array" ref="D29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Octubre</v>
      </c>
      <c r="E298">
        <v>4</v>
      </c>
      <c r="F298" s="3" t="s">
        <v>27</v>
      </c>
    </row>
    <row r="299" spans="1:6" x14ac:dyDescent="0.2">
      <c r="A299" s="5">
        <v>45224</v>
      </c>
      <c r="B299">
        <v>2023</v>
      </c>
      <c r="C299" s="3" t="s">
        <v>40</v>
      </c>
      <c r="D299" s="3" t="str" cm="1">
        <f t="array" ref="D29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Octubre</v>
      </c>
      <c r="E299">
        <v>4</v>
      </c>
      <c r="F299" s="3" t="s">
        <v>28</v>
      </c>
    </row>
    <row r="300" spans="1:6" x14ac:dyDescent="0.2">
      <c r="A300" s="5">
        <v>45225</v>
      </c>
      <c r="B300">
        <v>2023</v>
      </c>
      <c r="C300" s="3" t="s">
        <v>40</v>
      </c>
      <c r="D300" s="3" t="str" cm="1">
        <f t="array" ref="D30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Octubre</v>
      </c>
      <c r="E300">
        <v>4</v>
      </c>
      <c r="F300" s="3" t="s">
        <v>29</v>
      </c>
    </row>
    <row r="301" spans="1:6" x14ac:dyDescent="0.2">
      <c r="A301" s="5">
        <v>45226</v>
      </c>
      <c r="B301">
        <v>2023</v>
      </c>
      <c r="C301" s="3" t="s">
        <v>40</v>
      </c>
      <c r="D301" s="3" t="str" cm="1">
        <f t="array" ref="D30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Octubre</v>
      </c>
      <c r="E301">
        <v>4</v>
      </c>
      <c r="F301" s="3" t="s">
        <v>30</v>
      </c>
    </row>
    <row r="302" spans="1:6" x14ac:dyDescent="0.2">
      <c r="A302" s="5">
        <v>45227</v>
      </c>
      <c r="B302">
        <v>2023</v>
      </c>
      <c r="C302" s="3" t="s">
        <v>40</v>
      </c>
      <c r="D302" s="3" t="str" cm="1">
        <f t="array" ref="D30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Octubre</v>
      </c>
      <c r="E302">
        <v>4</v>
      </c>
      <c r="F302" s="3" t="s">
        <v>31</v>
      </c>
    </row>
    <row r="303" spans="1:6" x14ac:dyDescent="0.2">
      <c r="A303" s="5">
        <v>45228</v>
      </c>
      <c r="B303">
        <v>2023</v>
      </c>
      <c r="C303" s="3" t="s">
        <v>40</v>
      </c>
      <c r="D303" s="3" t="str" cm="1">
        <f t="array" ref="D30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Octubre</v>
      </c>
      <c r="E303">
        <v>4</v>
      </c>
      <c r="F303" s="3" t="s">
        <v>25</v>
      </c>
    </row>
    <row r="304" spans="1:6" x14ac:dyDescent="0.2">
      <c r="A304" s="5">
        <v>45229</v>
      </c>
      <c r="B304">
        <v>2023</v>
      </c>
      <c r="C304" s="3" t="s">
        <v>40</v>
      </c>
      <c r="D304" s="3" t="str" cm="1">
        <f t="array" ref="D30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Octubre</v>
      </c>
      <c r="E304">
        <v>4</v>
      </c>
      <c r="F304" s="3" t="s">
        <v>26</v>
      </c>
    </row>
    <row r="305" spans="1:6" x14ac:dyDescent="0.2">
      <c r="A305" s="5">
        <v>45230</v>
      </c>
      <c r="B305">
        <v>2023</v>
      </c>
      <c r="C305" s="3" t="s">
        <v>40</v>
      </c>
      <c r="D305" s="3" t="str" cm="1">
        <f t="array" ref="D30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Octubre</v>
      </c>
      <c r="E305">
        <v>4</v>
      </c>
      <c r="F305" s="3" t="s">
        <v>27</v>
      </c>
    </row>
    <row r="306" spans="1:6" x14ac:dyDescent="0.2">
      <c r="A306" s="5">
        <v>45231</v>
      </c>
      <c r="B306">
        <v>2023</v>
      </c>
      <c r="C306" s="3" t="s">
        <v>41</v>
      </c>
      <c r="D306" s="3" t="str" cm="1">
        <f t="array" ref="D30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Noviembre</v>
      </c>
      <c r="E306">
        <v>4</v>
      </c>
      <c r="F306" s="3" t="s">
        <v>28</v>
      </c>
    </row>
    <row r="307" spans="1:6" x14ac:dyDescent="0.2">
      <c r="A307" s="5">
        <v>45232</v>
      </c>
      <c r="B307">
        <v>2023</v>
      </c>
      <c r="C307" s="3" t="s">
        <v>41</v>
      </c>
      <c r="D307" s="3" t="str" cm="1">
        <f t="array" ref="D30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Noviembre</v>
      </c>
      <c r="E307">
        <v>4</v>
      </c>
      <c r="F307" s="3" t="s">
        <v>29</v>
      </c>
    </row>
    <row r="308" spans="1:6" x14ac:dyDescent="0.2">
      <c r="A308" s="5">
        <v>45233</v>
      </c>
      <c r="B308">
        <v>2023</v>
      </c>
      <c r="C308" s="3" t="s">
        <v>41</v>
      </c>
      <c r="D308" s="3" t="str" cm="1">
        <f t="array" ref="D30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Noviembre</v>
      </c>
      <c r="E308">
        <v>4</v>
      </c>
      <c r="F308" s="3" t="s">
        <v>30</v>
      </c>
    </row>
    <row r="309" spans="1:6" x14ac:dyDescent="0.2">
      <c r="A309" s="5">
        <v>45234</v>
      </c>
      <c r="B309">
        <v>2023</v>
      </c>
      <c r="C309" s="3" t="s">
        <v>41</v>
      </c>
      <c r="D309" s="3" t="str" cm="1">
        <f t="array" ref="D30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Noviembre</v>
      </c>
      <c r="E309">
        <v>4</v>
      </c>
      <c r="F309" s="3" t="s">
        <v>31</v>
      </c>
    </row>
    <row r="310" spans="1:6" x14ac:dyDescent="0.2">
      <c r="A310" s="5">
        <v>45235</v>
      </c>
      <c r="B310">
        <v>2023</v>
      </c>
      <c r="C310" s="3" t="s">
        <v>41</v>
      </c>
      <c r="D310" s="3" t="str" cm="1">
        <f t="array" ref="D31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Noviembre</v>
      </c>
      <c r="E310">
        <v>4</v>
      </c>
      <c r="F310" s="3" t="s">
        <v>25</v>
      </c>
    </row>
    <row r="311" spans="1:6" x14ac:dyDescent="0.2">
      <c r="A311" s="5">
        <v>45236</v>
      </c>
      <c r="B311">
        <v>2023</v>
      </c>
      <c r="C311" s="3" t="s">
        <v>41</v>
      </c>
      <c r="D311" s="3" t="str" cm="1">
        <f t="array" ref="D31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Noviembre</v>
      </c>
      <c r="E311">
        <v>4</v>
      </c>
      <c r="F311" s="3" t="s">
        <v>26</v>
      </c>
    </row>
    <row r="312" spans="1:6" x14ac:dyDescent="0.2">
      <c r="A312" s="5">
        <v>45237</v>
      </c>
      <c r="B312">
        <v>2023</v>
      </c>
      <c r="C312" s="3" t="s">
        <v>41</v>
      </c>
      <c r="D312" s="3" t="str" cm="1">
        <f t="array" ref="D31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Noviembre</v>
      </c>
      <c r="E312">
        <v>4</v>
      </c>
      <c r="F312" s="3" t="s">
        <v>27</v>
      </c>
    </row>
    <row r="313" spans="1:6" x14ac:dyDescent="0.2">
      <c r="A313" s="5">
        <v>45238</v>
      </c>
      <c r="B313">
        <v>2023</v>
      </c>
      <c r="C313" s="3" t="s">
        <v>41</v>
      </c>
      <c r="D313" s="3" t="str" cm="1">
        <f t="array" ref="D31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Noviembre</v>
      </c>
      <c r="E313">
        <v>4</v>
      </c>
      <c r="F313" s="3" t="s">
        <v>28</v>
      </c>
    </row>
    <row r="314" spans="1:6" x14ac:dyDescent="0.2">
      <c r="A314" s="5">
        <v>45239</v>
      </c>
      <c r="B314">
        <v>2023</v>
      </c>
      <c r="C314" s="3" t="s">
        <v>41</v>
      </c>
      <c r="D314" s="3" t="str" cm="1">
        <f t="array" ref="D31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Noviembre</v>
      </c>
      <c r="E314">
        <v>4</v>
      </c>
      <c r="F314" s="3" t="s">
        <v>29</v>
      </c>
    </row>
    <row r="315" spans="1:6" x14ac:dyDescent="0.2">
      <c r="A315" s="5">
        <v>45240</v>
      </c>
      <c r="B315">
        <v>2023</v>
      </c>
      <c r="C315" s="3" t="s">
        <v>41</v>
      </c>
      <c r="D315" s="3" t="str" cm="1">
        <f t="array" ref="D31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Noviembre</v>
      </c>
      <c r="E315">
        <v>4</v>
      </c>
      <c r="F315" s="3" t="s">
        <v>30</v>
      </c>
    </row>
    <row r="316" spans="1:6" x14ac:dyDescent="0.2">
      <c r="A316" s="5">
        <v>45241</v>
      </c>
      <c r="B316">
        <v>2023</v>
      </c>
      <c r="C316" s="3" t="s">
        <v>41</v>
      </c>
      <c r="D316" s="3" t="str" cm="1">
        <f t="array" ref="D31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Noviembre</v>
      </c>
      <c r="E316">
        <v>4</v>
      </c>
      <c r="F316" s="3" t="s">
        <v>31</v>
      </c>
    </row>
    <row r="317" spans="1:6" x14ac:dyDescent="0.2">
      <c r="A317" s="5">
        <v>45242</v>
      </c>
      <c r="B317">
        <v>2023</v>
      </c>
      <c r="C317" s="3" t="s">
        <v>41</v>
      </c>
      <c r="D317" s="3" t="str" cm="1">
        <f t="array" ref="D31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Noviembre</v>
      </c>
      <c r="E317">
        <v>4</v>
      </c>
      <c r="F317" s="3" t="s">
        <v>25</v>
      </c>
    </row>
    <row r="318" spans="1:6" x14ac:dyDescent="0.2">
      <c r="A318" s="5">
        <v>45243</v>
      </c>
      <c r="B318">
        <v>2023</v>
      </c>
      <c r="C318" s="3" t="s">
        <v>41</v>
      </c>
      <c r="D318" s="3" t="str" cm="1">
        <f t="array" ref="D31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Noviembre</v>
      </c>
      <c r="E318">
        <v>4</v>
      </c>
      <c r="F318" s="3" t="s">
        <v>26</v>
      </c>
    </row>
    <row r="319" spans="1:6" x14ac:dyDescent="0.2">
      <c r="A319" s="5">
        <v>45244</v>
      </c>
      <c r="B319">
        <v>2023</v>
      </c>
      <c r="C319" s="3" t="s">
        <v>41</v>
      </c>
      <c r="D319" s="3" t="str" cm="1">
        <f t="array" ref="D31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Noviembre</v>
      </c>
      <c r="E319">
        <v>4</v>
      </c>
      <c r="F319" s="3" t="s">
        <v>27</v>
      </c>
    </row>
    <row r="320" spans="1:6" x14ac:dyDescent="0.2">
      <c r="A320" s="5">
        <v>45245</v>
      </c>
      <c r="B320">
        <v>2023</v>
      </c>
      <c r="C320" s="3" t="s">
        <v>41</v>
      </c>
      <c r="D320" s="3" t="str" cm="1">
        <f t="array" ref="D32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Noviembre</v>
      </c>
      <c r="E320">
        <v>4</v>
      </c>
      <c r="F320" s="3" t="s">
        <v>28</v>
      </c>
    </row>
    <row r="321" spans="1:6" x14ac:dyDescent="0.2">
      <c r="A321" s="5">
        <v>45246</v>
      </c>
      <c r="B321">
        <v>2023</v>
      </c>
      <c r="C321" s="3" t="s">
        <v>41</v>
      </c>
      <c r="D321" s="3" t="str" cm="1">
        <f t="array" ref="D32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Noviembre</v>
      </c>
      <c r="E321">
        <v>4</v>
      </c>
      <c r="F321" s="3" t="s">
        <v>29</v>
      </c>
    </row>
    <row r="322" spans="1:6" x14ac:dyDescent="0.2">
      <c r="A322" s="5">
        <v>45247</v>
      </c>
      <c r="B322">
        <v>2023</v>
      </c>
      <c r="C322" s="3" t="s">
        <v>41</v>
      </c>
      <c r="D322" s="3" t="str" cm="1">
        <f t="array" ref="D32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Noviembre</v>
      </c>
      <c r="E322">
        <v>4</v>
      </c>
      <c r="F322" s="3" t="s">
        <v>30</v>
      </c>
    </row>
    <row r="323" spans="1:6" x14ac:dyDescent="0.2">
      <c r="A323" s="5">
        <v>45248</v>
      </c>
      <c r="B323">
        <v>2023</v>
      </c>
      <c r="C323" s="3" t="s">
        <v>41</v>
      </c>
      <c r="D323" s="3" t="str" cm="1">
        <f t="array" ref="D32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Noviembre</v>
      </c>
      <c r="E323">
        <v>4</v>
      </c>
      <c r="F323" s="3" t="s">
        <v>31</v>
      </c>
    </row>
    <row r="324" spans="1:6" x14ac:dyDescent="0.2">
      <c r="A324" s="5">
        <v>45249</v>
      </c>
      <c r="B324">
        <v>2023</v>
      </c>
      <c r="C324" s="3" t="s">
        <v>41</v>
      </c>
      <c r="D324" s="3" t="str" cm="1">
        <f t="array" ref="D32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Noviembre</v>
      </c>
      <c r="E324">
        <v>4</v>
      </c>
      <c r="F324" s="3" t="s">
        <v>25</v>
      </c>
    </row>
    <row r="325" spans="1:6" x14ac:dyDescent="0.2">
      <c r="A325" s="5">
        <v>45250</v>
      </c>
      <c r="B325">
        <v>2023</v>
      </c>
      <c r="C325" s="3" t="s">
        <v>41</v>
      </c>
      <c r="D325" s="3" t="str" cm="1">
        <f t="array" ref="D32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Noviembre</v>
      </c>
      <c r="E325">
        <v>4</v>
      </c>
      <c r="F325" s="3" t="s">
        <v>26</v>
      </c>
    </row>
    <row r="326" spans="1:6" x14ac:dyDescent="0.2">
      <c r="A326" s="5">
        <v>45251</v>
      </c>
      <c r="B326">
        <v>2023</v>
      </c>
      <c r="C326" s="3" t="s">
        <v>41</v>
      </c>
      <c r="D326" s="3" t="str" cm="1">
        <f t="array" ref="D32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Noviembre</v>
      </c>
      <c r="E326">
        <v>4</v>
      </c>
      <c r="F326" s="3" t="s">
        <v>27</v>
      </c>
    </row>
    <row r="327" spans="1:6" x14ac:dyDescent="0.2">
      <c r="A327" s="5">
        <v>45252</v>
      </c>
      <c r="B327">
        <v>2023</v>
      </c>
      <c r="C327" s="3" t="s">
        <v>41</v>
      </c>
      <c r="D327" s="3" t="str" cm="1">
        <f t="array" ref="D32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Noviembre</v>
      </c>
      <c r="E327">
        <v>4</v>
      </c>
      <c r="F327" s="3" t="s">
        <v>28</v>
      </c>
    </row>
    <row r="328" spans="1:6" x14ac:dyDescent="0.2">
      <c r="A328" s="5">
        <v>45253</v>
      </c>
      <c r="B328">
        <v>2023</v>
      </c>
      <c r="C328" s="3" t="s">
        <v>41</v>
      </c>
      <c r="D328" s="3" t="str" cm="1">
        <f t="array" ref="D32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Noviembre</v>
      </c>
      <c r="E328">
        <v>4</v>
      </c>
      <c r="F328" s="3" t="s">
        <v>29</v>
      </c>
    </row>
    <row r="329" spans="1:6" x14ac:dyDescent="0.2">
      <c r="A329" s="5">
        <v>45254</v>
      </c>
      <c r="B329">
        <v>2023</v>
      </c>
      <c r="C329" s="3" t="s">
        <v>41</v>
      </c>
      <c r="D329" s="3" t="str" cm="1">
        <f t="array" ref="D32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Noviembre</v>
      </c>
      <c r="E329">
        <v>4</v>
      </c>
      <c r="F329" s="3" t="s">
        <v>30</v>
      </c>
    </row>
    <row r="330" spans="1:6" x14ac:dyDescent="0.2">
      <c r="A330" s="5">
        <v>45255</v>
      </c>
      <c r="B330">
        <v>2023</v>
      </c>
      <c r="C330" s="3" t="s">
        <v>41</v>
      </c>
      <c r="D330" s="3" t="str" cm="1">
        <f t="array" ref="D33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Noviembre</v>
      </c>
      <c r="E330">
        <v>4</v>
      </c>
      <c r="F330" s="3" t="s">
        <v>31</v>
      </c>
    </row>
    <row r="331" spans="1:6" x14ac:dyDescent="0.2">
      <c r="A331" s="5">
        <v>45256</v>
      </c>
      <c r="B331">
        <v>2023</v>
      </c>
      <c r="C331" s="3" t="s">
        <v>41</v>
      </c>
      <c r="D331" s="3" t="str" cm="1">
        <f t="array" ref="D33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Noviembre</v>
      </c>
      <c r="E331">
        <v>4</v>
      </c>
      <c r="F331" s="3" t="s">
        <v>25</v>
      </c>
    </row>
    <row r="332" spans="1:6" x14ac:dyDescent="0.2">
      <c r="A332" s="5">
        <v>45257</v>
      </c>
      <c r="B332">
        <v>2023</v>
      </c>
      <c r="C332" s="3" t="s">
        <v>41</v>
      </c>
      <c r="D332" s="3" t="str" cm="1">
        <f t="array" ref="D33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Noviembre</v>
      </c>
      <c r="E332">
        <v>4</v>
      </c>
      <c r="F332" s="3" t="s">
        <v>26</v>
      </c>
    </row>
    <row r="333" spans="1:6" x14ac:dyDescent="0.2">
      <c r="A333" s="5">
        <v>45258</v>
      </c>
      <c r="B333">
        <v>2023</v>
      </c>
      <c r="C333" s="3" t="s">
        <v>41</v>
      </c>
      <c r="D333" s="3" t="str" cm="1">
        <f t="array" ref="D33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Noviembre</v>
      </c>
      <c r="E333">
        <v>4</v>
      </c>
      <c r="F333" s="3" t="s">
        <v>27</v>
      </c>
    </row>
    <row r="334" spans="1:6" x14ac:dyDescent="0.2">
      <c r="A334" s="5">
        <v>45259</v>
      </c>
      <c r="B334">
        <v>2023</v>
      </c>
      <c r="C334" s="3" t="s">
        <v>41</v>
      </c>
      <c r="D334" s="3" t="str" cm="1">
        <f t="array" ref="D33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Noviembre</v>
      </c>
      <c r="E334">
        <v>4</v>
      </c>
      <c r="F334" s="3" t="s">
        <v>28</v>
      </c>
    </row>
    <row r="335" spans="1:6" x14ac:dyDescent="0.2">
      <c r="A335" s="5">
        <v>45260</v>
      </c>
      <c r="B335">
        <v>2023</v>
      </c>
      <c r="C335" s="3" t="s">
        <v>41</v>
      </c>
      <c r="D335" s="3" t="str" cm="1">
        <f t="array" ref="D33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Noviembre</v>
      </c>
      <c r="E335">
        <v>4</v>
      </c>
      <c r="F335" s="3" t="s">
        <v>29</v>
      </c>
    </row>
    <row r="336" spans="1:6" x14ac:dyDescent="0.2">
      <c r="A336" s="5">
        <v>45261</v>
      </c>
      <c r="B336">
        <v>2023</v>
      </c>
      <c r="C336" s="3" t="s">
        <v>42</v>
      </c>
      <c r="D336" s="3" t="str" cm="1">
        <f t="array" ref="D33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Diciembre</v>
      </c>
      <c r="E336">
        <v>4</v>
      </c>
      <c r="F336" s="3" t="s">
        <v>30</v>
      </c>
    </row>
    <row r="337" spans="1:6" x14ac:dyDescent="0.2">
      <c r="A337" s="5">
        <v>45262</v>
      </c>
      <c r="B337">
        <v>2023</v>
      </c>
      <c r="C337" s="3" t="s">
        <v>42</v>
      </c>
      <c r="D337" s="3" t="str" cm="1">
        <f t="array" ref="D33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Diciembre</v>
      </c>
      <c r="E337">
        <v>4</v>
      </c>
      <c r="F337" s="3" t="s">
        <v>31</v>
      </c>
    </row>
    <row r="338" spans="1:6" x14ac:dyDescent="0.2">
      <c r="A338" s="5">
        <v>45263</v>
      </c>
      <c r="B338">
        <v>2023</v>
      </c>
      <c r="C338" s="3" t="s">
        <v>42</v>
      </c>
      <c r="D338" s="3" t="str" cm="1">
        <f t="array" ref="D33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Diciembre</v>
      </c>
      <c r="E338">
        <v>4</v>
      </c>
      <c r="F338" s="3" t="s">
        <v>25</v>
      </c>
    </row>
    <row r="339" spans="1:6" x14ac:dyDescent="0.2">
      <c r="A339" s="5">
        <v>45264</v>
      </c>
      <c r="B339">
        <v>2023</v>
      </c>
      <c r="C339" s="3" t="s">
        <v>42</v>
      </c>
      <c r="D339" s="3" t="str" cm="1">
        <f t="array" ref="D33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Diciembre</v>
      </c>
      <c r="E339">
        <v>4</v>
      </c>
      <c r="F339" s="3" t="s">
        <v>26</v>
      </c>
    </row>
    <row r="340" spans="1:6" x14ac:dyDescent="0.2">
      <c r="A340" s="5">
        <v>45265</v>
      </c>
      <c r="B340">
        <v>2023</v>
      </c>
      <c r="C340" s="3" t="s">
        <v>42</v>
      </c>
      <c r="D340" s="3" t="str" cm="1">
        <f t="array" ref="D34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Diciembre</v>
      </c>
      <c r="E340">
        <v>4</v>
      </c>
      <c r="F340" s="3" t="s">
        <v>27</v>
      </c>
    </row>
    <row r="341" spans="1:6" x14ac:dyDescent="0.2">
      <c r="A341" s="5">
        <v>45266</v>
      </c>
      <c r="B341">
        <v>2023</v>
      </c>
      <c r="C341" s="3" t="s">
        <v>42</v>
      </c>
      <c r="D341" s="3" t="str" cm="1">
        <f t="array" ref="D34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Diciembre</v>
      </c>
      <c r="E341">
        <v>4</v>
      </c>
      <c r="F341" s="3" t="s">
        <v>28</v>
      </c>
    </row>
    <row r="342" spans="1:6" x14ac:dyDescent="0.2">
      <c r="A342" s="5">
        <v>45267</v>
      </c>
      <c r="B342">
        <v>2023</v>
      </c>
      <c r="C342" s="3" t="s">
        <v>42</v>
      </c>
      <c r="D342" s="3" t="str" cm="1">
        <f t="array" ref="D34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Diciembre</v>
      </c>
      <c r="E342">
        <v>4</v>
      </c>
      <c r="F342" s="3" t="s">
        <v>29</v>
      </c>
    </row>
    <row r="343" spans="1:6" x14ac:dyDescent="0.2">
      <c r="A343" s="5">
        <v>45268</v>
      </c>
      <c r="B343">
        <v>2023</v>
      </c>
      <c r="C343" s="3" t="s">
        <v>42</v>
      </c>
      <c r="D343" s="3" t="str" cm="1">
        <f t="array" ref="D34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Diciembre</v>
      </c>
      <c r="E343">
        <v>4</v>
      </c>
      <c r="F343" s="3" t="s">
        <v>30</v>
      </c>
    </row>
    <row r="344" spans="1:6" x14ac:dyDescent="0.2">
      <c r="A344" s="5">
        <v>45269</v>
      </c>
      <c r="B344">
        <v>2023</v>
      </c>
      <c r="C344" s="3" t="s">
        <v>42</v>
      </c>
      <c r="D344" s="3" t="str" cm="1">
        <f t="array" ref="D34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Diciembre</v>
      </c>
      <c r="E344">
        <v>4</v>
      </c>
      <c r="F344" s="3" t="s">
        <v>31</v>
      </c>
    </row>
    <row r="345" spans="1:6" x14ac:dyDescent="0.2">
      <c r="A345" s="5">
        <v>45270</v>
      </c>
      <c r="B345">
        <v>2023</v>
      </c>
      <c r="C345" s="3" t="s">
        <v>42</v>
      </c>
      <c r="D345" s="3" t="str" cm="1">
        <f t="array" ref="D34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Diciembre</v>
      </c>
      <c r="E345">
        <v>4</v>
      </c>
      <c r="F345" s="3" t="s">
        <v>25</v>
      </c>
    </row>
    <row r="346" spans="1:6" x14ac:dyDescent="0.2">
      <c r="A346" s="5">
        <v>45271</v>
      </c>
      <c r="B346">
        <v>2023</v>
      </c>
      <c r="C346" s="3" t="s">
        <v>42</v>
      </c>
      <c r="D346" s="3" t="str" cm="1">
        <f t="array" ref="D34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Diciembre</v>
      </c>
      <c r="E346">
        <v>4</v>
      </c>
      <c r="F346" s="3" t="s">
        <v>26</v>
      </c>
    </row>
    <row r="347" spans="1:6" x14ac:dyDescent="0.2">
      <c r="A347" s="5">
        <v>45272</v>
      </c>
      <c r="B347">
        <v>2023</v>
      </c>
      <c r="C347" s="3" t="s">
        <v>42</v>
      </c>
      <c r="D347" s="3" t="str" cm="1">
        <f t="array" ref="D34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Diciembre</v>
      </c>
      <c r="E347">
        <v>4</v>
      </c>
      <c r="F347" s="3" t="s">
        <v>27</v>
      </c>
    </row>
    <row r="348" spans="1:6" x14ac:dyDescent="0.2">
      <c r="A348" s="5">
        <v>45273</v>
      </c>
      <c r="B348">
        <v>2023</v>
      </c>
      <c r="C348" s="3" t="s">
        <v>42</v>
      </c>
      <c r="D348" s="3" t="str" cm="1">
        <f t="array" ref="D34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Diciembre</v>
      </c>
      <c r="E348">
        <v>4</v>
      </c>
      <c r="F348" s="3" t="s">
        <v>28</v>
      </c>
    </row>
    <row r="349" spans="1:6" x14ac:dyDescent="0.2">
      <c r="A349" s="5">
        <v>45274</v>
      </c>
      <c r="B349">
        <v>2023</v>
      </c>
      <c r="C349" s="3" t="s">
        <v>42</v>
      </c>
      <c r="D349" s="3" t="str" cm="1">
        <f t="array" ref="D34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Diciembre</v>
      </c>
      <c r="E349">
        <v>4</v>
      </c>
      <c r="F349" s="3" t="s">
        <v>29</v>
      </c>
    </row>
    <row r="350" spans="1:6" x14ac:dyDescent="0.2">
      <c r="A350" s="5">
        <v>45275</v>
      </c>
      <c r="B350">
        <v>2023</v>
      </c>
      <c r="C350" s="3" t="s">
        <v>42</v>
      </c>
      <c r="D350" s="3" t="str" cm="1">
        <f t="array" ref="D35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Diciembre</v>
      </c>
      <c r="E350">
        <v>4</v>
      </c>
      <c r="F350" s="3" t="s">
        <v>30</v>
      </c>
    </row>
    <row r="351" spans="1:6" x14ac:dyDescent="0.2">
      <c r="A351" s="5">
        <v>45276</v>
      </c>
      <c r="B351">
        <v>2023</v>
      </c>
      <c r="C351" s="3" t="s">
        <v>42</v>
      </c>
      <c r="D351" s="3" t="str" cm="1">
        <f t="array" ref="D35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Diciembre</v>
      </c>
      <c r="E351">
        <v>4</v>
      </c>
      <c r="F351" s="3" t="s">
        <v>31</v>
      </c>
    </row>
    <row r="352" spans="1:6" x14ac:dyDescent="0.2">
      <c r="A352" s="5">
        <v>45277</v>
      </c>
      <c r="B352">
        <v>2023</v>
      </c>
      <c r="C352" s="3" t="s">
        <v>42</v>
      </c>
      <c r="D352" s="3" t="str" cm="1">
        <f t="array" ref="D35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Diciembre</v>
      </c>
      <c r="E352">
        <v>4</v>
      </c>
      <c r="F352" s="3" t="s">
        <v>25</v>
      </c>
    </row>
    <row r="353" spans="1:6" x14ac:dyDescent="0.2">
      <c r="A353" s="5">
        <v>45278</v>
      </c>
      <c r="B353">
        <v>2023</v>
      </c>
      <c r="C353" s="3" t="s">
        <v>42</v>
      </c>
      <c r="D353" s="3" t="str" cm="1">
        <f t="array" ref="D35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Diciembre</v>
      </c>
      <c r="E353">
        <v>4</v>
      </c>
      <c r="F353" s="3" t="s">
        <v>26</v>
      </c>
    </row>
    <row r="354" spans="1:6" x14ac:dyDescent="0.2">
      <c r="A354" s="5">
        <v>45279</v>
      </c>
      <c r="B354">
        <v>2023</v>
      </c>
      <c r="C354" s="3" t="s">
        <v>42</v>
      </c>
      <c r="D354" s="3" t="str" cm="1">
        <f t="array" ref="D35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Diciembre</v>
      </c>
      <c r="E354">
        <v>4</v>
      </c>
      <c r="F354" s="3" t="s">
        <v>27</v>
      </c>
    </row>
    <row r="355" spans="1:6" x14ac:dyDescent="0.2">
      <c r="A355" s="5">
        <v>45280</v>
      </c>
      <c r="B355">
        <v>2023</v>
      </c>
      <c r="C355" s="3" t="s">
        <v>42</v>
      </c>
      <c r="D355" s="3" t="str" cm="1">
        <f t="array" ref="D35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Diciembre</v>
      </c>
      <c r="E355">
        <v>4</v>
      </c>
      <c r="F355" s="3" t="s">
        <v>28</v>
      </c>
    </row>
    <row r="356" spans="1:6" x14ac:dyDescent="0.2">
      <c r="A356" s="5">
        <v>45281</v>
      </c>
      <c r="B356">
        <v>2023</v>
      </c>
      <c r="C356" s="3" t="s">
        <v>42</v>
      </c>
      <c r="D356" s="3" t="str" cm="1">
        <f t="array" ref="D35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Diciembre</v>
      </c>
      <c r="E356">
        <v>4</v>
      </c>
      <c r="F356" s="3" t="s">
        <v>29</v>
      </c>
    </row>
    <row r="357" spans="1:6" x14ac:dyDescent="0.2">
      <c r="A357" s="5">
        <v>45282</v>
      </c>
      <c r="B357">
        <v>2023</v>
      </c>
      <c r="C357" s="3" t="s">
        <v>42</v>
      </c>
      <c r="D357" s="3" t="str" cm="1">
        <f t="array" ref="D357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Diciembre</v>
      </c>
      <c r="E357">
        <v>4</v>
      </c>
      <c r="F357" s="3" t="s">
        <v>30</v>
      </c>
    </row>
    <row r="358" spans="1:6" x14ac:dyDescent="0.2">
      <c r="A358" s="5">
        <v>45283</v>
      </c>
      <c r="B358">
        <v>2023</v>
      </c>
      <c r="C358" s="3" t="s">
        <v>42</v>
      </c>
      <c r="D358" s="3" t="str" cm="1">
        <f t="array" ref="D358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Diciembre</v>
      </c>
      <c r="E358">
        <v>4</v>
      </c>
      <c r="F358" s="3" t="s">
        <v>31</v>
      </c>
    </row>
    <row r="359" spans="1:6" x14ac:dyDescent="0.2">
      <c r="A359" s="5">
        <v>45284</v>
      </c>
      <c r="B359">
        <v>2023</v>
      </c>
      <c r="C359" s="3" t="s">
        <v>42</v>
      </c>
      <c r="D359" s="3" t="str" cm="1">
        <f t="array" ref="D359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Diciembre</v>
      </c>
      <c r="E359">
        <v>4</v>
      </c>
      <c r="F359" s="3" t="s">
        <v>25</v>
      </c>
    </row>
    <row r="360" spans="1:6" x14ac:dyDescent="0.2">
      <c r="A360" s="5">
        <v>45285</v>
      </c>
      <c r="B360">
        <v>2023</v>
      </c>
      <c r="C360" s="3" t="s">
        <v>42</v>
      </c>
      <c r="D360" s="3" t="str" cm="1">
        <f t="array" ref="D360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Diciembre</v>
      </c>
      <c r="E360">
        <v>4</v>
      </c>
      <c r="F360" s="3" t="s">
        <v>26</v>
      </c>
    </row>
    <row r="361" spans="1:6" x14ac:dyDescent="0.2">
      <c r="A361" s="5">
        <v>45286</v>
      </c>
      <c r="B361">
        <v>2023</v>
      </c>
      <c r="C361" s="3" t="s">
        <v>42</v>
      </c>
      <c r="D361" s="3" t="str" cm="1">
        <f t="array" ref="D361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Diciembre</v>
      </c>
      <c r="E361">
        <v>4</v>
      </c>
      <c r="F361" s="3" t="s">
        <v>27</v>
      </c>
    </row>
    <row r="362" spans="1:6" x14ac:dyDescent="0.2">
      <c r="A362" s="5">
        <v>45287</v>
      </c>
      <c r="B362">
        <v>2023</v>
      </c>
      <c r="C362" s="3" t="s">
        <v>42</v>
      </c>
      <c r="D362" s="3" t="str" cm="1">
        <f t="array" ref="D362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Diciembre</v>
      </c>
      <c r="E362">
        <v>4</v>
      </c>
      <c r="F362" s="3" t="s">
        <v>28</v>
      </c>
    </row>
    <row r="363" spans="1:6" x14ac:dyDescent="0.2">
      <c r="A363" s="5">
        <v>45288</v>
      </c>
      <c r="B363">
        <v>2023</v>
      </c>
      <c r="C363" s="3" t="s">
        <v>42</v>
      </c>
      <c r="D363" s="3" t="str" cm="1">
        <f t="array" ref="D363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Diciembre</v>
      </c>
      <c r="E363">
        <v>4</v>
      </c>
      <c r="F363" s="3" t="s">
        <v>29</v>
      </c>
    </row>
    <row r="364" spans="1:6" x14ac:dyDescent="0.2">
      <c r="A364" s="5">
        <v>45289</v>
      </c>
      <c r="B364">
        <v>2023</v>
      </c>
      <c r="C364" s="3" t="s">
        <v>42</v>
      </c>
      <c r="D364" s="3" t="str" cm="1">
        <f t="array" ref="D364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Diciembre</v>
      </c>
      <c r="E364">
        <v>4</v>
      </c>
      <c r="F364" s="3" t="s">
        <v>30</v>
      </c>
    </row>
    <row r="365" spans="1:6" x14ac:dyDescent="0.2">
      <c r="A365" s="5">
        <v>45290</v>
      </c>
      <c r="B365">
        <v>2023</v>
      </c>
      <c r="C365" s="3" t="s">
        <v>42</v>
      </c>
      <c r="D365" s="3" t="str" cm="1">
        <f t="array" ref="D365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Diciembre</v>
      </c>
      <c r="E365">
        <v>4</v>
      </c>
      <c r="F365" s="3" t="s">
        <v>31</v>
      </c>
    </row>
    <row r="366" spans="1:6" x14ac:dyDescent="0.2">
      <c r="A366" s="5">
        <v>45291</v>
      </c>
      <c r="B366">
        <v>2023</v>
      </c>
      <c r="C366" s="3" t="s">
        <v>42</v>
      </c>
      <c r="D366" s="3" t="str" cm="1">
        <f t="array" ref="D366">_xlfn.IFS(calendario[[#This Row],[Mes]]="January","Enero",calendario[[#This Row],[Mes]]="February","Febrero",calendario[[#This Row],[Mes]]="March","Marzo",calendario[[#This Row],[Mes]]="April","Abril",calendario[[#This Row],[Mes]]="May","Mayo",calendario[[#This Row],[Mes]]="June","Junio",calendario[[#This Row],[Mes]]="July","Julio",calendario[[#This Row],[Mes]]="August","Agosto",calendario[[#This Row],[Mes]]="September","Septiembre",calendario[[#This Row],[Mes]]="October","Octubre",calendario[[#This Row],[Mes]]="November","Noviembre",calendario[[#This Row],[Mes]]="December","Diciembre")</f>
        <v>Diciembre</v>
      </c>
      <c r="E366">
        <v>4</v>
      </c>
      <c r="F366" s="3" t="s">
        <v>25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FF696-77BD-4CE6-ADCC-43FF70546AFB}">
  <sheetPr codeName="Hoja3"/>
  <dimension ref="A8:E208"/>
  <sheetViews>
    <sheetView workbookViewId="0">
      <selection activeCell="D11" sqref="D11"/>
    </sheetView>
  </sheetViews>
  <sheetFormatPr baseColWidth="10" defaultRowHeight="12.75" x14ac:dyDescent="0.2"/>
  <cols>
    <col min="1" max="1" width="12.140625" bestFit="1" customWidth="1"/>
    <col min="2" max="2" width="26.140625" bestFit="1" customWidth="1"/>
    <col min="3" max="3" width="10.28515625" bestFit="1" customWidth="1"/>
    <col min="4" max="4" width="10" customWidth="1"/>
    <col min="5" max="5" width="19.28515625" bestFit="1" customWidth="1"/>
    <col min="6" max="6" width="11.28515625" bestFit="1" customWidth="1"/>
    <col min="7" max="7" width="26.140625" bestFit="1" customWidth="1"/>
    <col min="8" max="8" width="11.28515625" bestFit="1" customWidth="1"/>
    <col min="9" max="9" width="19.28515625" bestFit="1" customWidth="1"/>
  </cols>
  <sheetData>
    <row r="8" spans="1:5" x14ac:dyDescent="0.2">
      <c r="A8" t="s">
        <v>43</v>
      </c>
      <c r="B8" t="s">
        <v>44</v>
      </c>
      <c r="C8" s="1" t="s">
        <v>46</v>
      </c>
      <c r="D8" t="s">
        <v>45</v>
      </c>
    </row>
    <row r="9" spans="1:5" x14ac:dyDescent="0.2">
      <c r="A9" s="3" t="s">
        <v>47</v>
      </c>
      <c r="B9" s="3" t="s">
        <v>48</v>
      </c>
      <c r="C9" s="6" t="s">
        <v>1499</v>
      </c>
      <c r="D9" s="3" t="s">
        <v>49</v>
      </c>
      <c r="E9" s="3"/>
    </row>
    <row r="10" spans="1:5" x14ac:dyDescent="0.2">
      <c r="A10" s="3" t="s">
        <v>50</v>
      </c>
      <c r="B10" s="3" t="s">
        <v>51</v>
      </c>
      <c r="C10" s="6" t="s">
        <v>1498</v>
      </c>
      <c r="D10" s="3" t="s">
        <v>52</v>
      </c>
      <c r="E10" s="3"/>
    </row>
    <row r="11" spans="1:5" x14ac:dyDescent="0.2">
      <c r="A11" s="3" t="s">
        <v>53</v>
      </c>
      <c r="B11" s="3" t="s">
        <v>54</v>
      </c>
      <c r="C11" s="6" t="s">
        <v>1501</v>
      </c>
      <c r="D11" s="3" t="s">
        <v>52</v>
      </c>
      <c r="E11" s="3"/>
    </row>
    <row r="12" spans="1:5" x14ac:dyDescent="0.2">
      <c r="A12" s="3" t="s">
        <v>55</v>
      </c>
      <c r="B12" s="3" t="s">
        <v>56</v>
      </c>
      <c r="C12" s="6" t="s">
        <v>1500</v>
      </c>
      <c r="D12" s="3" t="s">
        <v>49</v>
      </c>
      <c r="E12" s="3"/>
    </row>
    <row r="13" spans="1:5" x14ac:dyDescent="0.2">
      <c r="A13" s="3" t="s">
        <v>57</v>
      </c>
      <c r="B13" s="3" t="s">
        <v>58</v>
      </c>
      <c r="C13" s="6" t="s">
        <v>1499</v>
      </c>
      <c r="D13" s="3" t="s">
        <v>49</v>
      </c>
      <c r="E13" s="3"/>
    </row>
    <row r="14" spans="1:5" x14ac:dyDescent="0.2">
      <c r="A14" s="3" t="s">
        <v>59</v>
      </c>
      <c r="B14" s="3" t="s">
        <v>60</v>
      </c>
      <c r="C14" s="6" t="s">
        <v>1499</v>
      </c>
      <c r="D14" s="3" t="s">
        <v>52</v>
      </c>
      <c r="E14" s="3"/>
    </row>
    <row r="15" spans="1:5" x14ac:dyDescent="0.2">
      <c r="A15" s="3" t="s">
        <v>61</v>
      </c>
      <c r="B15" s="3" t="s">
        <v>62</v>
      </c>
      <c r="C15" s="6" t="s">
        <v>1498</v>
      </c>
      <c r="D15" s="3" t="s">
        <v>49</v>
      </c>
      <c r="E15" s="3"/>
    </row>
    <row r="16" spans="1:5" x14ac:dyDescent="0.2">
      <c r="A16" s="3" t="s">
        <v>63</v>
      </c>
      <c r="B16" s="3" t="s">
        <v>64</v>
      </c>
      <c r="C16" s="6" t="s">
        <v>1501</v>
      </c>
      <c r="D16" s="3" t="s">
        <v>49</v>
      </c>
      <c r="E16" s="3"/>
    </row>
    <row r="17" spans="1:5" x14ac:dyDescent="0.2">
      <c r="A17" s="3" t="s">
        <v>65</v>
      </c>
      <c r="B17" s="3" t="s">
        <v>66</v>
      </c>
      <c r="C17" s="6" t="s">
        <v>1500</v>
      </c>
      <c r="D17" s="3" t="s">
        <v>49</v>
      </c>
      <c r="E17" s="3"/>
    </row>
    <row r="18" spans="1:5" x14ac:dyDescent="0.2">
      <c r="A18" s="3" t="s">
        <v>67</v>
      </c>
      <c r="B18" s="3" t="s">
        <v>68</v>
      </c>
      <c r="C18" s="6" t="s">
        <v>1499</v>
      </c>
      <c r="D18" s="3" t="s">
        <v>49</v>
      </c>
      <c r="E18" s="3"/>
    </row>
    <row r="19" spans="1:5" x14ac:dyDescent="0.2">
      <c r="A19" s="3" t="s">
        <v>69</v>
      </c>
      <c r="B19" s="3" t="s">
        <v>70</v>
      </c>
      <c r="C19" s="6" t="s">
        <v>1499</v>
      </c>
      <c r="D19" s="3" t="s">
        <v>52</v>
      </c>
      <c r="E19" s="3"/>
    </row>
    <row r="20" spans="1:5" x14ac:dyDescent="0.2">
      <c r="A20" s="3" t="s">
        <v>71</v>
      </c>
      <c r="B20" s="3" t="s">
        <v>72</v>
      </c>
      <c r="C20" s="6" t="s">
        <v>1498</v>
      </c>
      <c r="D20" s="3" t="s">
        <v>49</v>
      </c>
      <c r="E20" s="3"/>
    </row>
    <row r="21" spans="1:5" x14ac:dyDescent="0.2">
      <c r="A21" s="3" t="s">
        <v>73</v>
      </c>
      <c r="B21" s="3" t="s">
        <v>74</v>
      </c>
      <c r="C21" s="6" t="s">
        <v>1501</v>
      </c>
      <c r="D21" s="3" t="s">
        <v>52</v>
      </c>
      <c r="E21" s="3"/>
    </row>
    <row r="22" spans="1:5" x14ac:dyDescent="0.2">
      <c r="A22" s="3" t="s">
        <v>75</v>
      </c>
      <c r="B22" s="3" t="s">
        <v>76</v>
      </c>
      <c r="C22" s="6" t="s">
        <v>1500</v>
      </c>
      <c r="D22" s="3" t="s">
        <v>52</v>
      </c>
      <c r="E22" s="3"/>
    </row>
    <row r="23" spans="1:5" x14ac:dyDescent="0.2">
      <c r="A23" s="3" t="s">
        <v>77</v>
      </c>
      <c r="B23" s="3" t="s">
        <v>78</v>
      </c>
      <c r="C23" s="6" t="s">
        <v>1499</v>
      </c>
      <c r="D23" s="3" t="s">
        <v>49</v>
      </c>
      <c r="E23" s="3"/>
    </row>
    <row r="24" spans="1:5" x14ac:dyDescent="0.2">
      <c r="A24" s="3" t="s">
        <v>79</v>
      </c>
      <c r="B24" s="3" t="s">
        <v>80</v>
      </c>
      <c r="C24" s="6" t="s">
        <v>1499</v>
      </c>
      <c r="D24" s="3" t="s">
        <v>52</v>
      </c>
      <c r="E24" s="3"/>
    </row>
    <row r="25" spans="1:5" x14ac:dyDescent="0.2">
      <c r="A25" s="3" t="s">
        <v>81</v>
      </c>
      <c r="B25" s="3" t="s">
        <v>82</v>
      </c>
      <c r="C25" s="6" t="s">
        <v>1498</v>
      </c>
      <c r="D25" s="3" t="s">
        <v>52</v>
      </c>
      <c r="E25" s="3"/>
    </row>
    <row r="26" spans="1:5" x14ac:dyDescent="0.2">
      <c r="A26" s="3" t="s">
        <v>83</v>
      </c>
      <c r="B26" s="3" t="s">
        <v>84</v>
      </c>
      <c r="C26" s="6" t="s">
        <v>1501</v>
      </c>
      <c r="D26" s="3" t="s">
        <v>49</v>
      </c>
      <c r="E26" s="3"/>
    </row>
    <row r="27" spans="1:5" x14ac:dyDescent="0.2">
      <c r="A27" s="3" t="s">
        <v>85</v>
      </c>
      <c r="B27" s="3" t="s">
        <v>86</v>
      </c>
      <c r="C27" s="6" t="s">
        <v>1500</v>
      </c>
      <c r="D27" s="3" t="s">
        <v>49</v>
      </c>
      <c r="E27" s="3"/>
    </row>
    <row r="28" spans="1:5" x14ac:dyDescent="0.2">
      <c r="A28" s="3" t="s">
        <v>87</v>
      </c>
      <c r="B28" s="3" t="s">
        <v>88</v>
      </c>
      <c r="C28" s="6" t="s">
        <v>1499</v>
      </c>
      <c r="D28" s="3" t="s">
        <v>49</v>
      </c>
      <c r="E28" s="3"/>
    </row>
    <row r="29" spans="1:5" x14ac:dyDescent="0.2">
      <c r="A29" s="3" t="s">
        <v>89</v>
      </c>
      <c r="B29" s="3" t="s">
        <v>90</v>
      </c>
      <c r="C29" s="6" t="s">
        <v>1499</v>
      </c>
      <c r="D29" s="3" t="s">
        <v>49</v>
      </c>
      <c r="E29" s="3"/>
    </row>
    <row r="30" spans="1:5" x14ac:dyDescent="0.2">
      <c r="A30" s="3" t="s">
        <v>91</v>
      </c>
      <c r="B30" s="3" t="s">
        <v>92</v>
      </c>
      <c r="C30" s="6" t="s">
        <v>1498</v>
      </c>
      <c r="D30" s="3" t="s">
        <v>49</v>
      </c>
      <c r="E30" s="3"/>
    </row>
    <row r="31" spans="1:5" x14ac:dyDescent="0.2">
      <c r="A31" s="3" t="s">
        <v>93</v>
      </c>
      <c r="B31" s="3" t="s">
        <v>94</v>
      </c>
      <c r="C31" s="6" t="s">
        <v>1501</v>
      </c>
      <c r="D31" s="3" t="s">
        <v>49</v>
      </c>
      <c r="E31" s="3"/>
    </row>
    <row r="32" spans="1:5" x14ac:dyDescent="0.2">
      <c r="A32" s="3" t="s">
        <v>95</v>
      </c>
      <c r="B32" s="3" t="s">
        <v>96</v>
      </c>
      <c r="C32" s="6" t="s">
        <v>1500</v>
      </c>
      <c r="D32" s="3" t="s">
        <v>52</v>
      </c>
      <c r="E32" s="3"/>
    </row>
    <row r="33" spans="1:5" x14ac:dyDescent="0.2">
      <c r="A33" s="3" t="s">
        <v>97</v>
      </c>
      <c r="B33" s="3" t="s">
        <v>98</v>
      </c>
      <c r="C33" s="6" t="s">
        <v>1499</v>
      </c>
      <c r="D33" s="3" t="s">
        <v>49</v>
      </c>
      <c r="E33" s="3"/>
    </row>
    <row r="34" spans="1:5" x14ac:dyDescent="0.2">
      <c r="A34" s="3" t="s">
        <v>99</v>
      </c>
      <c r="B34" s="3" t="s">
        <v>100</v>
      </c>
      <c r="C34" s="6" t="s">
        <v>1499</v>
      </c>
      <c r="D34" s="3" t="s">
        <v>49</v>
      </c>
      <c r="E34" s="3"/>
    </row>
    <row r="35" spans="1:5" x14ac:dyDescent="0.2">
      <c r="A35" s="3" t="s">
        <v>101</v>
      </c>
      <c r="B35" s="3" t="s">
        <v>102</v>
      </c>
      <c r="C35" s="6" t="s">
        <v>1498</v>
      </c>
      <c r="D35" s="3" t="s">
        <v>52</v>
      </c>
      <c r="E35" s="3"/>
    </row>
    <row r="36" spans="1:5" x14ac:dyDescent="0.2">
      <c r="A36" s="3" t="s">
        <v>103</v>
      </c>
      <c r="B36" s="3" t="s">
        <v>104</v>
      </c>
      <c r="C36" s="6" t="s">
        <v>1501</v>
      </c>
      <c r="D36" s="3" t="s">
        <v>49</v>
      </c>
      <c r="E36" s="3"/>
    </row>
    <row r="37" spans="1:5" x14ac:dyDescent="0.2">
      <c r="A37" s="3" t="s">
        <v>105</v>
      </c>
      <c r="B37" s="3" t="s">
        <v>106</v>
      </c>
      <c r="C37" s="6" t="s">
        <v>1500</v>
      </c>
      <c r="D37" s="3" t="s">
        <v>49</v>
      </c>
      <c r="E37" s="3"/>
    </row>
    <row r="38" spans="1:5" x14ac:dyDescent="0.2">
      <c r="A38" s="3" t="s">
        <v>107</v>
      </c>
      <c r="B38" s="3" t="s">
        <v>108</v>
      </c>
      <c r="C38" s="6" t="s">
        <v>1499</v>
      </c>
      <c r="D38" s="3" t="s">
        <v>49</v>
      </c>
      <c r="E38" s="3"/>
    </row>
    <row r="39" spans="1:5" x14ac:dyDescent="0.2">
      <c r="A39" s="3" t="s">
        <v>109</v>
      </c>
      <c r="B39" s="3" t="s">
        <v>110</v>
      </c>
      <c r="C39" s="6" t="s">
        <v>1499</v>
      </c>
      <c r="D39" s="3" t="s">
        <v>52</v>
      </c>
      <c r="E39" s="3"/>
    </row>
    <row r="40" spans="1:5" x14ac:dyDescent="0.2">
      <c r="A40" s="3" t="s">
        <v>111</v>
      </c>
      <c r="B40" s="3" t="s">
        <v>112</v>
      </c>
      <c r="C40" s="6" t="s">
        <v>1498</v>
      </c>
      <c r="D40" s="3" t="s">
        <v>49</v>
      </c>
      <c r="E40" s="3"/>
    </row>
    <row r="41" spans="1:5" x14ac:dyDescent="0.2">
      <c r="A41" s="3" t="s">
        <v>113</v>
      </c>
      <c r="B41" s="3" t="s">
        <v>114</v>
      </c>
      <c r="C41" s="6" t="s">
        <v>1501</v>
      </c>
      <c r="D41" s="3" t="s">
        <v>49</v>
      </c>
      <c r="E41" s="3"/>
    </row>
    <row r="42" spans="1:5" x14ac:dyDescent="0.2">
      <c r="A42" s="3" t="s">
        <v>115</v>
      </c>
      <c r="B42" s="3" t="s">
        <v>116</v>
      </c>
      <c r="C42" s="6" t="s">
        <v>1500</v>
      </c>
      <c r="D42" s="3" t="s">
        <v>52</v>
      </c>
      <c r="E42" s="3"/>
    </row>
    <row r="43" spans="1:5" x14ac:dyDescent="0.2">
      <c r="A43" s="3" t="s">
        <v>117</v>
      </c>
      <c r="B43" s="3" t="s">
        <v>118</v>
      </c>
      <c r="C43" s="6" t="s">
        <v>1499</v>
      </c>
      <c r="D43" s="3" t="s">
        <v>52</v>
      </c>
      <c r="E43" s="3"/>
    </row>
    <row r="44" spans="1:5" x14ac:dyDescent="0.2">
      <c r="A44" s="3" t="s">
        <v>119</v>
      </c>
      <c r="B44" s="3" t="s">
        <v>120</v>
      </c>
      <c r="C44" s="6" t="s">
        <v>1499</v>
      </c>
      <c r="D44" s="3" t="s">
        <v>52</v>
      </c>
      <c r="E44" s="3"/>
    </row>
    <row r="45" spans="1:5" x14ac:dyDescent="0.2">
      <c r="A45" s="3" t="s">
        <v>121</v>
      </c>
      <c r="B45" s="3" t="s">
        <v>122</v>
      </c>
      <c r="C45" s="6" t="s">
        <v>1498</v>
      </c>
      <c r="D45" s="3" t="s">
        <v>49</v>
      </c>
      <c r="E45" s="3"/>
    </row>
    <row r="46" spans="1:5" x14ac:dyDescent="0.2">
      <c r="A46" s="3" t="s">
        <v>123</v>
      </c>
      <c r="B46" s="3" t="s">
        <v>124</v>
      </c>
      <c r="C46" s="6" t="s">
        <v>1501</v>
      </c>
      <c r="D46" s="3" t="s">
        <v>52</v>
      </c>
      <c r="E46" s="3"/>
    </row>
    <row r="47" spans="1:5" x14ac:dyDescent="0.2">
      <c r="A47" s="3" t="s">
        <v>125</v>
      </c>
      <c r="B47" s="3" t="s">
        <v>126</v>
      </c>
      <c r="C47" s="6" t="s">
        <v>1500</v>
      </c>
      <c r="D47" s="3" t="s">
        <v>49</v>
      </c>
      <c r="E47" s="3"/>
    </row>
    <row r="48" spans="1:5" x14ac:dyDescent="0.2">
      <c r="A48" s="3" t="s">
        <v>127</v>
      </c>
      <c r="B48" s="3" t="s">
        <v>128</v>
      </c>
      <c r="C48" s="6" t="s">
        <v>1499</v>
      </c>
      <c r="D48" s="3" t="s">
        <v>49</v>
      </c>
      <c r="E48" s="3"/>
    </row>
    <row r="49" spans="1:5" x14ac:dyDescent="0.2">
      <c r="A49" s="3" t="s">
        <v>129</v>
      </c>
      <c r="B49" s="3" t="s">
        <v>130</v>
      </c>
      <c r="C49" s="6" t="s">
        <v>1499</v>
      </c>
      <c r="D49" s="3" t="s">
        <v>49</v>
      </c>
      <c r="E49" s="3"/>
    </row>
    <row r="50" spans="1:5" x14ac:dyDescent="0.2">
      <c r="A50" s="3" t="s">
        <v>131</v>
      </c>
      <c r="B50" s="3" t="s">
        <v>132</v>
      </c>
      <c r="C50" s="6" t="s">
        <v>1498</v>
      </c>
      <c r="D50" s="3" t="s">
        <v>49</v>
      </c>
      <c r="E50" s="3"/>
    </row>
    <row r="51" spans="1:5" x14ac:dyDescent="0.2">
      <c r="A51" s="3" t="s">
        <v>133</v>
      </c>
      <c r="B51" s="3" t="s">
        <v>134</v>
      </c>
      <c r="C51" s="6" t="s">
        <v>1501</v>
      </c>
      <c r="D51" s="3" t="s">
        <v>52</v>
      </c>
      <c r="E51" s="3"/>
    </row>
    <row r="52" spans="1:5" x14ac:dyDescent="0.2">
      <c r="A52" s="3" t="s">
        <v>135</v>
      </c>
      <c r="B52" s="3" t="s">
        <v>136</v>
      </c>
      <c r="C52" s="6" t="s">
        <v>1500</v>
      </c>
      <c r="D52" s="3" t="s">
        <v>52</v>
      </c>
      <c r="E52" s="3"/>
    </row>
    <row r="53" spans="1:5" x14ac:dyDescent="0.2">
      <c r="A53" s="3" t="s">
        <v>137</v>
      </c>
      <c r="B53" s="3" t="s">
        <v>138</v>
      </c>
      <c r="C53" s="6" t="s">
        <v>1499</v>
      </c>
      <c r="D53" s="3" t="s">
        <v>52</v>
      </c>
      <c r="E53" s="3"/>
    </row>
    <row r="54" spans="1:5" x14ac:dyDescent="0.2">
      <c r="A54" s="3" t="s">
        <v>139</v>
      </c>
      <c r="B54" s="3" t="s">
        <v>140</v>
      </c>
      <c r="C54" s="6" t="s">
        <v>1499</v>
      </c>
      <c r="D54" s="3" t="s">
        <v>49</v>
      </c>
      <c r="E54" s="3"/>
    </row>
    <row r="55" spans="1:5" x14ac:dyDescent="0.2">
      <c r="A55" s="3" t="s">
        <v>141</v>
      </c>
      <c r="B55" s="3" t="s">
        <v>142</v>
      </c>
      <c r="C55" s="6" t="s">
        <v>1498</v>
      </c>
      <c r="D55" s="3" t="s">
        <v>52</v>
      </c>
      <c r="E55" s="3"/>
    </row>
    <row r="56" spans="1:5" x14ac:dyDescent="0.2">
      <c r="A56" s="3" t="s">
        <v>143</v>
      </c>
      <c r="B56" s="3" t="s">
        <v>144</v>
      </c>
      <c r="C56" s="6" t="s">
        <v>1501</v>
      </c>
      <c r="D56" s="3" t="s">
        <v>49</v>
      </c>
      <c r="E56" s="3"/>
    </row>
    <row r="57" spans="1:5" x14ac:dyDescent="0.2">
      <c r="A57" s="3" t="s">
        <v>145</v>
      </c>
      <c r="B57" s="3" t="s">
        <v>146</v>
      </c>
      <c r="C57" s="6" t="s">
        <v>1500</v>
      </c>
      <c r="D57" s="3" t="s">
        <v>49</v>
      </c>
      <c r="E57" s="3"/>
    </row>
    <row r="58" spans="1:5" x14ac:dyDescent="0.2">
      <c r="A58" s="3" t="s">
        <v>147</v>
      </c>
      <c r="B58" s="3" t="s">
        <v>148</v>
      </c>
      <c r="C58" s="6" t="s">
        <v>1499</v>
      </c>
      <c r="D58" s="3" t="s">
        <v>49</v>
      </c>
      <c r="E58" s="3"/>
    </row>
    <row r="59" spans="1:5" x14ac:dyDescent="0.2">
      <c r="A59" s="3" t="s">
        <v>149</v>
      </c>
      <c r="B59" s="3" t="s">
        <v>150</v>
      </c>
      <c r="C59" s="6" t="s">
        <v>1499</v>
      </c>
      <c r="D59" s="3" t="s">
        <v>49</v>
      </c>
      <c r="E59" s="3"/>
    </row>
    <row r="60" spans="1:5" x14ac:dyDescent="0.2">
      <c r="A60" s="3" t="s">
        <v>151</v>
      </c>
      <c r="B60" s="3" t="s">
        <v>152</v>
      </c>
      <c r="C60" s="6" t="s">
        <v>1498</v>
      </c>
      <c r="D60" s="3" t="s">
        <v>52</v>
      </c>
      <c r="E60" s="3"/>
    </row>
    <row r="61" spans="1:5" x14ac:dyDescent="0.2">
      <c r="A61" s="3" t="s">
        <v>153</v>
      </c>
      <c r="B61" s="3" t="s">
        <v>154</v>
      </c>
      <c r="C61" s="6" t="s">
        <v>1501</v>
      </c>
      <c r="D61" s="3" t="s">
        <v>49</v>
      </c>
      <c r="E61" s="3"/>
    </row>
    <row r="62" spans="1:5" x14ac:dyDescent="0.2">
      <c r="A62" s="3" t="s">
        <v>155</v>
      </c>
      <c r="B62" s="3" t="s">
        <v>156</v>
      </c>
      <c r="C62" s="6" t="s">
        <v>1500</v>
      </c>
      <c r="D62" s="3" t="s">
        <v>52</v>
      </c>
      <c r="E62" s="3"/>
    </row>
    <row r="63" spans="1:5" x14ac:dyDescent="0.2">
      <c r="A63" s="3" t="s">
        <v>157</v>
      </c>
      <c r="B63" s="3" t="s">
        <v>158</v>
      </c>
      <c r="C63" s="6" t="s">
        <v>1499</v>
      </c>
      <c r="D63" s="3" t="s">
        <v>49</v>
      </c>
      <c r="E63" s="3"/>
    </row>
    <row r="64" spans="1:5" x14ac:dyDescent="0.2">
      <c r="A64" s="3" t="s">
        <v>159</v>
      </c>
      <c r="B64" s="3" t="s">
        <v>160</v>
      </c>
      <c r="C64" s="6" t="s">
        <v>1499</v>
      </c>
      <c r="D64" s="3" t="s">
        <v>49</v>
      </c>
      <c r="E64" s="3"/>
    </row>
    <row r="65" spans="1:5" x14ac:dyDescent="0.2">
      <c r="A65" s="3" t="s">
        <v>161</v>
      </c>
      <c r="B65" s="3" t="s">
        <v>162</v>
      </c>
      <c r="C65" s="6" t="s">
        <v>1498</v>
      </c>
      <c r="D65" s="3" t="s">
        <v>49</v>
      </c>
      <c r="E65" s="3"/>
    </row>
    <row r="66" spans="1:5" x14ac:dyDescent="0.2">
      <c r="A66" s="3" t="s">
        <v>163</v>
      </c>
      <c r="B66" s="3" t="s">
        <v>164</v>
      </c>
      <c r="C66" s="6" t="s">
        <v>1501</v>
      </c>
      <c r="D66" s="3" t="s">
        <v>52</v>
      </c>
      <c r="E66" s="3"/>
    </row>
    <row r="67" spans="1:5" x14ac:dyDescent="0.2">
      <c r="A67" s="3" t="s">
        <v>165</v>
      </c>
      <c r="B67" s="3" t="s">
        <v>166</v>
      </c>
      <c r="C67" s="6" t="s">
        <v>1500</v>
      </c>
      <c r="D67" s="3" t="s">
        <v>49</v>
      </c>
      <c r="E67" s="3"/>
    </row>
    <row r="68" spans="1:5" x14ac:dyDescent="0.2">
      <c r="A68" s="3" t="s">
        <v>167</v>
      </c>
      <c r="B68" s="3" t="s">
        <v>168</v>
      </c>
      <c r="C68" s="6" t="s">
        <v>1499</v>
      </c>
      <c r="D68" s="3" t="s">
        <v>52</v>
      </c>
      <c r="E68" s="3"/>
    </row>
    <row r="69" spans="1:5" x14ac:dyDescent="0.2">
      <c r="A69" s="3" t="s">
        <v>169</v>
      </c>
      <c r="B69" s="3" t="s">
        <v>170</v>
      </c>
      <c r="C69" s="6" t="s">
        <v>1499</v>
      </c>
      <c r="D69" s="3" t="s">
        <v>49</v>
      </c>
      <c r="E69" s="3"/>
    </row>
    <row r="70" spans="1:5" x14ac:dyDescent="0.2">
      <c r="A70" s="3" t="s">
        <v>171</v>
      </c>
      <c r="B70" s="3" t="s">
        <v>172</v>
      </c>
      <c r="C70" s="6" t="s">
        <v>1498</v>
      </c>
      <c r="D70" s="3" t="s">
        <v>52</v>
      </c>
      <c r="E70" s="3"/>
    </row>
    <row r="71" spans="1:5" x14ac:dyDescent="0.2">
      <c r="A71" s="3" t="s">
        <v>173</v>
      </c>
      <c r="B71" s="3" t="s">
        <v>174</v>
      </c>
      <c r="C71" s="6" t="s">
        <v>1501</v>
      </c>
      <c r="D71" s="3" t="s">
        <v>49</v>
      </c>
      <c r="E71" s="3"/>
    </row>
    <row r="72" spans="1:5" x14ac:dyDescent="0.2">
      <c r="A72" s="3" t="s">
        <v>175</v>
      </c>
      <c r="B72" s="3" t="s">
        <v>176</v>
      </c>
      <c r="C72" s="6" t="s">
        <v>1500</v>
      </c>
      <c r="D72" s="3" t="s">
        <v>49</v>
      </c>
      <c r="E72" s="3"/>
    </row>
    <row r="73" spans="1:5" x14ac:dyDescent="0.2">
      <c r="A73" s="3" t="s">
        <v>177</v>
      </c>
      <c r="B73" s="3" t="s">
        <v>178</v>
      </c>
      <c r="C73" s="6" t="s">
        <v>1499</v>
      </c>
      <c r="D73" s="3" t="s">
        <v>49</v>
      </c>
      <c r="E73" s="3"/>
    </row>
    <row r="74" spans="1:5" x14ac:dyDescent="0.2">
      <c r="A74" s="3" t="s">
        <v>179</v>
      </c>
      <c r="B74" s="3" t="s">
        <v>180</v>
      </c>
      <c r="C74" s="6" t="s">
        <v>1499</v>
      </c>
      <c r="D74" s="3" t="s">
        <v>52</v>
      </c>
      <c r="E74" s="3"/>
    </row>
    <row r="75" spans="1:5" x14ac:dyDescent="0.2">
      <c r="A75" s="3" t="s">
        <v>181</v>
      </c>
      <c r="B75" s="3" t="s">
        <v>182</v>
      </c>
      <c r="C75" s="6" t="s">
        <v>1498</v>
      </c>
      <c r="D75" s="3" t="s">
        <v>49</v>
      </c>
      <c r="E75" s="3"/>
    </row>
    <row r="76" spans="1:5" x14ac:dyDescent="0.2">
      <c r="A76" s="3" t="s">
        <v>183</v>
      </c>
      <c r="B76" s="3" t="s">
        <v>184</v>
      </c>
      <c r="C76" s="6" t="s">
        <v>1501</v>
      </c>
      <c r="D76" s="3" t="s">
        <v>52</v>
      </c>
      <c r="E76" s="3"/>
    </row>
    <row r="77" spans="1:5" x14ac:dyDescent="0.2">
      <c r="A77" s="3" t="s">
        <v>185</v>
      </c>
      <c r="B77" s="3" t="s">
        <v>186</v>
      </c>
      <c r="C77" s="6" t="s">
        <v>1500</v>
      </c>
      <c r="D77" s="3" t="s">
        <v>52</v>
      </c>
      <c r="E77" s="3"/>
    </row>
    <row r="78" spans="1:5" x14ac:dyDescent="0.2">
      <c r="A78" s="3" t="s">
        <v>187</v>
      </c>
      <c r="B78" s="3" t="s">
        <v>188</v>
      </c>
      <c r="C78" s="6" t="s">
        <v>1499</v>
      </c>
      <c r="D78" s="3" t="s">
        <v>52</v>
      </c>
      <c r="E78" s="3"/>
    </row>
    <row r="79" spans="1:5" x14ac:dyDescent="0.2">
      <c r="A79" s="3" t="s">
        <v>189</v>
      </c>
      <c r="B79" s="3" t="s">
        <v>190</v>
      </c>
      <c r="C79" s="6" t="s">
        <v>1499</v>
      </c>
      <c r="D79" s="3" t="s">
        <v>52</v>
      </c>
      <c r="E79" s="3"/>
    </row>
    <row r="80" spans="1:5" x14ac:dyDescent="0.2">
      <c r="A80" s="3" t="s">
        <v>191</v>
      </c>
      <c r="B80" s="3" t="s">
        <v>192</v>
      </c>
      <c r="C80" s="6" t="s">
        <v>1498</v>
      </c>
      <c r="D80" s="3" t="s">
        <v>49</v>
      </c>
      <c r="E80" s="3"/>
    </row>
    <row r="81" spans="1:5" x14ac:dyDescent="0.2">
      <c r="A81" s="3" t="s">
        <v>193</v>
      </c>
      <c r="B81" s="3" t="s">
        <v>194</v>
      </c>
      <c r="C81" s="6" t="s">
        <v>1501</v>
      </c>
      <c r="D81" s="3" t="s">
        <v>52</v>
      </c>
      <c r="E81" s="3"/>
    </row>
    <row r="82" spans="1:5" x14ac:dyDescent="0.2">
      <c r="A82" s="3" t="s">
        <v>195</v>
      </c>
      <c r="B82" s="3" t="s">
        <v>196</v>
      </c>
      <c r="C82" s="6" t="s">
        <v>1500</v>
      </c>
      <c r="D82" s="3" t="s">
        <v>52</v>
      </c>
      <c r="E82" s="3"/>
    </row>
    <row r="83" spans="1:5" x14ac:dyDescent="0.2">
      <c r="A83" s="3" t="s">
        <v>197</v>
      </c>
      <c r="B83" s="3" t="s">
        <v>198</v>
      </c>
      <c r="C83" s="6" t="s">
        <v>1499</v>
      </c>
      <c r="D83" s="3" t="s">
        <v>52</v>
      </c>
      <c r="E83" s="3"/>
    </row>
    <row r="84" spans="1:5" x14ac:dyDescent="0.2">
      <c r="A84" s="3" t="s">
        <v>199</v>
      </c>
      <c r="B84" s="3" t="s">
        <v>200</v>
      </c>
      <c r="C84" s="6" t="s">
        <v>1499</v>
      </c>
      <c r="D84" s="3" t="s">
        <v>52</v>
      </c>
      <c r="E84" s="3"/>
    </row>
    <row r="85" spans="1:5" x14ac:dyDescent="0.2">
      <c r="A85" s="3" t="s">
        <v>201</v>
      </c>
      <c r="B85" s="3" t="s">
        <v>202</v>
      </c>
      <c r="C85" s="6" t="s">
        <v>1498</v>
      </c>
      <c r="D85" s="3" t="s">
        <v>52</v>
      </c>
      <c r="E85" s="3"/>
    </row>
    <row r="86" spans="1:5" x14ac:dyDescent="0.2">
      <c r="A86" s="3" t="s">
        <v>203</v>
      </c>
      <c r="B86" s="3" t="s">
        <v>204</v>
      </c>
      <c r="C86" s="6" t="s">
        <v>1501</v>
      </c>
      <c r="D86" s="3" t="s">
        <v>49</v>
      </c>
      <c r="E86" s="3"/>
    </row>
    <row r="87" spans="1:5" x14ac:dyDescent="0.2">
      <c r="A87" s="3" t="s">
        <v>205</v>
      </c>
      <c r="B87" s="3" t="s">
        <v>206</v>
      </c>
      <c r="C87" s="6" t="s">
        <v>1500</v>
      </c>
      <c r="D87" s="3" t="s">
        <v>49</v>
      </c>
      <c r="E87" s="3"/>
    </row>
    <row r="88" spans="1:5" x14ac:dyDescent="0.2">
      <c r="A88" s="3" t="s">
        <v>207</v>
      </c>
      <c r="B88" s="3" t="s">
        <v>208</v>
      </c>
      <c r="C88" s="6" t="s">
        <v>1499</v>
      </c>
      <c r="D88" s="3" t="s">
        <v>49</v>
      </c>
      <c r="E88" s="3"/>
    </row>
    <row r="89" spans="1:5" x14ac:dyDescent="0.2">
      <c r="A89" s="3" t="s">
        <v>209</v>
      </c>
      <c r="B89" s="3" t="s">
        <v>210</v>
      </c>
      <c r="C89" s="6" t="s">
        <v>1499</v>
      </c>
      <c r="D89" s="3" t="s">
        <v>52</v>
      </c>
      <c r="E89" s="3"/>
    </row>
    <row r="90" spans="1:5" x14ac:dyDescent="0.2">
      <c r="A90" s="3" t="s">
        <v>211</v>
      </c>
      <c r="B90" s="3" t="s">
        <v>212</v>
      </c>
      <c r="C90" s="6" t="s">
        <v>1498</v>
      </c>
      <c r="D90" s="3" t="s">
        <v>52</v>
      </c>
      <c r="E90" s="3"/>
    </row>
    <row r="91" spans="1:5" x14ac:dyDescent="0.2">
      <c r="A91" s="3" t="s">
        <v>213</v>
      </c>
      <c r="B91" s="3" t="s">
        <v>214</v>
      </c>
      <c r="C91" s="6" t="s">
        <v>1501</v>
      </c>
      <c r="D91" s="3" t="s">
        <v>49</v>
      </c>
      <c r="E91" s="3"/>
    </row>
    <row r="92" spans="1:5" x14ac:dyDescent="0.2">
      <c r="A92" s="3" t="s">
        <v>215</v>
      </c>
      <c r="B92" s="3" t="s">
        <v>216</v>
      </c>
      <c r="C92" s="6" t="s">
        <v>1500</v>
      </c>
      <c r="D92" s="3" t="s">
        <v>49</v>
      </c>
      <c r="E92" s="3"/>
    </row>
    <row r="93" spans="1:5" x14ac:dyDescent="0.2">
      <c r="A93" s="3" t="s">
        <v>217</v>
      </c>
      <c r="B93" s="3" t="s">
        <v>218</v>
      </c>
      <c r="C93" s="6" t="s">
        <v>1499</v>
      </c>
      <c r="D93" s="3" t="s">
        <v>49</v>
      </c>
      <c r="E93" s="3"/>
    </row>
    <row r="94" spans="1:5" x14ac:dyDescent="0.2">
      <c r="A94" s="3" t="s">
        <v>219</v>
      </c>
      <c r="B94" s="3" t="s">
        <v>220</v>
      </c>
      <c r="C94" s="6" t="s">
        <v>1499</v>
      </c>
      <c r="D94" s="3" t="s">
        <v>49</v>
      </c>
      <c r="E94" s="3"/>
    </row>
    <row r="95" spans="1:5" x14ac:dyDescent="0.2">
      <c r="A95" s="3" t="s">
        <v>221</v>
      </c>
      <c r="B95" s="3" t="s">
        <v>222</v>
      </c>
      <c r="C95" s="6" t="s">
        <v>1498</v>
      </c>
      <c r="D95" s="3" t="s">
        <v>49</v>
      </c>
      <c r="E95" s="3"/>
    </row>
    <row r="96" spans="1:5" x14ac:dyDescent="0.2">
      <c r="A96" s="3" t="s">
        <v>223</v>
      </c>
      <c r="B96" s="3" t="s">
        <v>224</v>
      </c>
      <c r="C96" s="6" t="s">
        <v>1501</v>
      </c>
      <c r="D96" s="3" t="s">
        <v>49</v>
      </c>
      <c r="E96" s="3"/>
    </row>
    <row r="97" spans="1:5" x14ac:dyDescent="0.2">
      <c r="A97" s="3" t="s">
        <v>225</v>
      </c>
      <c r="B97" s="3" t="s">
        <v>226</v>
      </c>
      <c r="C97" s="6" t="s">
        <v>1500</v>
      </c>
      <c r="D97" s="3" t="s">
        <v>52</v>
      </c>
      <c r="E97" s="3"/>
    </row>
    <row r="98" spans="1:5" x14ac:dyDescent="0.2">
      <c r="A98" s="3" t="s">
        <v>227</v>
      </c>
      <c r="B98" s="3" t="s">
        <v>228</v>
      </c>
      <c r="C98" s="6" t="s">
        <v>1499</v>
      </c>
      <c r="D98" s="3" t="s">
        <v>49</v>
      </c>
      <c r="E98" s="3"/>
    </row>
    <row r="99" spans="1:5" x14ac:dyDescent="0.2">
      <c r="A99" s="3" t="s">
        <v>229</v>
      </c>
      <c r="B99" s="3" t="s">
        <v>230</v>
      </c>
      <c r="C99" s="6" t="s">
        <v>1499</v>
      </c>
      <c r="D99" s="3" t="s">
        <v>52</v>
      </c>
      <c r="E99" s="3"/>
    </row>
    <row r="100" spans="1:5" x14ac:dyDescent="0.2">
      <c r="A100" s="3" t="s">
        <v>231</v>
      </c>
      <c r="B100" s="3" t="s">
        <v>232</v>
      </c>
      <c r="C100" s="6" t="s">
        <v>1498</v>
      </c>
      <c r="D100" s="3" t="s">
        <v>49</v>
      </c>
      <c r="E100" s="3"/>
    </row>
    <row r="101" spans="1:5" x14ac:dyDescent="0.2">
      <c r="A101" s="3" t="s">
        <v>233</v>
      </c>
      <c r="B101" s="3" t="s">
        <v>234</v>
      </c>
      <c r="C101" s="6" t="s">
        <v>1501</v>
      </c>
      <c r="D101" s="3" t="s">
        <v>52</v>
      </c>
      <c r="E101" s="3"/>
    </row>
    <row r="102" spans="1:5" x14ac:dyDescent="0.2">
      <c r="A102" s="3" t="s">
        <v>235</v>
      </c>
      <c r="B102" s="3" t="s">
        <v>236</v>
      </c>
      <c r="C102" s="6" t="s">
        <v>1500</v>
      </c>
      <c r="D102" s="3" t="s">
        <v>49</v>
      </c>
      <c r="E102" s="3"/>
    </row>
    <row r="103" spans="1:5" x14ac:dyDescent="0.2">
      <c r="A103" s="3" t="s">
        <v>237</v>
      </c>
      <c r="B103" s="3" t="s">
        <v>238</v>
      </c>
      <c r="C103" s="6" t="s">
        <v>1499</v>
      </c>
      <c r="D103" s="3" t="s">
        <v>49</v>
      </c>
      <c r="E103" s="3"/>
    </row>
    <row r="104" spans="1:5" x14ac:dyDescent="0.2">
      <c r="A104" s="3" t="s">
        <v>239</v>
      </c>
      <c r="B104" s="3" t="s">
        <v>240</v>
      </c>
      <c r="C104" s="6" t="s">
        <v>1499</v>
      </c>
      <c r="D104" s="3" t="s">
        <v>49</v>
      </c>
      <c r="E104" s="3"/>
    </row>
    <row r="105" spans="1:5" x14ac:dyDescent="0.2">
      <c r="A105" s="3" t="s">
        <v>241</v>
      </c>
      <c r="B105" s="3" t="s">
        <v>242</v>
      </c>
      <c r="C105" s="6" t="s">
        <v>1498</v>
      </c>
      <c r="D105" s="3" t="s">
        <v>49</v>
      </c>
      <c r="E105" s="3"/>
    </row>
    <row r="106" spans="1:5" x14ac:dyDescent="0.2">
      <c r="A106" s="3" t="s">
        <v>243</v>
      </c>
      <c r="B106" s="3" t="s">
        <v>244</v>
      </c>
      <c r="C106" s="6" t="s">
        <v>1501</v>
      </c>
      <c r="D106" s="3" t="s">
        <v>52</v>
      </c>
      <c r="E106" s="3"/>
    </row>
    <row r="107" spans="1:5" x14ac:dyDescent="0.2">
      <c r="A107" s="3" t="s">
        <v>245</v>
      </c>
      <c r="B107" s="3" t="s">
        <v>246</v>
      </c>
      <c r="C107" s="6" t="s">
        <v>1500</v>
      </c>
      <c r="D107" s="3" t="s">
        <v>52</v>
      </c>
      <c r="E107" s="3"/>
    </row>
    <row r="108" spans="1:5" x14ac:dyDescent="0.2">
      <c r="A108" s="3" t="s">
        <v>247</v>
      </c>
      <c r="B108" s="3" t="s">
        <v>248</v>
      </c>
      <c r="C108" s="6" t="s">
        <v>1499</v>
      </c>
      <c r="D108" s="3" t="s">
        <v>52</v>
      </c>
      <c r="E108" s="3"/>
    </row>
    <row r="109" spans="1:5" x14ac:dyDescent="0.2">
      <c r="A109" s="3" t="s">
        <v>249</v>
      </c>
      <c r="B109" s="3" t="s">
        <v>250</v>
      </c>
      <c r="C109" s="6" t="s">
        <v>1499</v>
      </c>
      <c r="D109" s="3" t="s">
        <v>49</v>
      </c>
      <c r="E109" s="3"/>
    </row>
    <row r="110" spans="1:5" x14ac:dyDescent="0.2">
      <c r="A110" s="3" t="s">
        <v>251</v>
      </c>
      <c r="B110" s="3" t="s">
        <v>252</v>
      </c>
      <c r="C110" s="6" t="s">
        <v>1498</v>
      </c>
      <c r="D110" s="3" t="s">
        <v>49</v>
      </c>
      <c r="E110" s="3"/>
    </row>
    <row r="111" spans="1:5" x14ac:dyDescent="0.2">
      <c r="A111" s="3" t="s">
        <v>253</v>
      </c>
      <c r="B111" s="3" t="s">
        <v>254</v>
      </c>
      <c r="C111" s="6" t="s">
        <v>1501</v>
      </c>
      <c r="D111" s="3" t="s">
        <v>49</v>
      </c>
      <c r="E111" s="3"/>
    </row>
    <row r="112" spans="1:5" x14ac:dyDescent="0.2">
      <c r="A112" s="3" t="s">
        <v>255</v>
      </c>
      <c r="B112" s="3" t="s">
        <v>256</v>
      </c>
      <c r="C112" s="6" t="s">
        <v>1500</v>
      </c>
      <c r="D112" s="3" t="s">
        <v>52</v>
      </c>
      <c r="E112" s="3"/>
    </row>
    <row r="113" spans="1:5" x14ac:dyDescent="0.2">
      <c r="A113" s="3" t="s">
        <v>257</v>
      </c>
      <c r="B113" s="3" t="s">
        <v>258</v>
      </c>
      <c r="C113" s="6" t="s">
        <v>1499</v>
      </c>
      <c r="D113" s="3" t="s">
        <v>49</v>
      </c>
      <c r="E113" s="3"/>
    </row>
    <row r="114" spans="1:5" x14ac:dyDescent="0.2">
      <c r="A114" s="3" t="s">
        <v>259</v>
      </c>
      <c r="B114" s="3" t="s">
        <v>260</v>
      </c>
      <c r="C114" s="6" t="s">
        <v>1499</v>
      </c>
      <c r="D114" s="3" t="s">
        <v>52</v>
      </c>
      <c r="E114" s="3"/>
    </row>
    <row r="115" spans="1:5" x14ac:dyDescent="0.2">
      <c r="A115" s="3" t="s">
        <v>261</v>
      </c>
      <c r="B115" s="3" t="s">
        <v>262</v>
      </c>
      <c r="C115" s="6" t="s">
        <v>1498</v>
      </c>
      <c r="D115" s="3" t="s">
        <v>52</v>
      </c>
      <c r="E115" s="3"/>
    </row>
    <row r="116" spans="1:5" x14ac:dyDescent="0.2">
      <c r="A116" s="3" t="s">
        <v>263</v>
      </c>
      <c r="B116" s="3" t="s">
        <v>264</v>
      </c>
      <c r="C116" s="6" t="s">
        <v>1501</v>
      </c>
      <c r="D116" s="3" t="s">
        <v>52</v>
      </c>
      <c r="E116" s="3"/>
    </row>
    <row r="117" spans="1:5" x14ac:dyDescent="0.2">
      <c r="A117" s="3" t="s">
        <v>265</v>
      </c>
      <c r="B117" s="3" t="s">
        <v>266</v>
      </c>
      <c r="C117" s="6" t="s">
        <v>1500</v>
      </c>
      <c r="D117" s="3" t="s">
        <v>49</v>
      </c>
      <c r="E117" s="3"/>
    </row>
    <row r="118" spans="1:5" x14ac:dyDescent="0.2">
      <c r="A118" s="3" t="s">
        <v>267</v>
      </c>
      <c r="B118" s="3" t="s">
        <v>268</v>
      </c>
      <c r="C118" s="6" t="s">
        <v>1499</v>
      </c>
      <c r="D118" s="3" t="s">
        <v>49</v>
      </c>
      <c r="E118" s="3"/>
    </row>
    <row r="119" spans="1:5" x14ac:dyDescent="0.2">
      <c r="A119" s="3" t="s">
        <v>269</v>
      </c>
      <c r="B119" s="3" t="s">
        <v>270</v>
      </c>
      <c r="C119" s="6" t="s">
        <v>1499</v>
      </c>
      <c r="D119" s="3" t="s">
        <v>49</v>
      </c>
      <c r="E119" s="3"/>
    </row>
    <row r="120" spans="1:5" x14ac:dyDescent="0.2">
      <c r="A120" s="3" t="s">
        <v>271</v>
      </c>
      <c r="B120" s="3" t="s">
        <v>272</v>
      </c>
      <c r="C120" s="6" t="s">
        <v>1498</v>
      </c>
      <c r="D120" s="3" t="s">
        <v>52</v>
      </c>
      <c r="E120" s="3"/>
    </row>
    <row r="121" spans="1:5" x14ac:dyDescent="0.2">
      <c r="A121" s="3" t="s">
        <v>273</v>
      </c>
      <c r="B121" s="3" t="s">
        <v>274</v>
      </c>
      <c r="C121" s="6" t="s">
        <v>1501</v>
      </c>
      <c r="D121" s="3" t="s">
        <v>52</v>
      </c>
      <c r="E121" s="3"/>
    </row>
    <row r="122" spans="1:5" x14ac:dyDescent="0.2">
      <c r="A122" s="3" t="s">
        <v>275</v>
      </c>
      <c r="B122" s="3" t="s">
        <v>276</v>
      </c>
      <c r="C122" s="6" t="s">
        <v>1500</v>
      </c>
      <c r="D122" s="3" t="s">
        <v>52</v>
      </c>
      <c r="E122" s="3"/>
    </row>
    <row r="123" spans="1:5" x14ac:dyDescent="0.2">
      <c r="A123" s="3" t="s">
        <v>277</v>
      </c>
      <c r="B123" s="3" t="s">
        <v>278</v>
      </c>
      <c r="C123" s="6" t="s">
        <v>1499</v>
      </c>
      <c r="D123" s="3" t="s">
        <v>52</v>
      </c>
      <c r="E123" s="3"/>
    </row>
    <row r="124" spans="1:5" x14ac:dyDescent="0.2">
      <c r="A124" s="3" t="s">
        <v>279</v>
      </c>
      <c r="B124" s="3" t="s">
        <v>280</v>
      </c>
      <c r="C124" s="6" t="s">
        <v>1499</v>
      </c>
      <c r="D124" s="3" t="s">
        <v>49</v>
      </c>
      <c r="E124" s="3"/>
    </row>
    <row r="125" spans="1:5" x14ac:dyDescent="0.2">
      <c r="A125" s="3" t="s">
        <v>281</v>
      </c>
      <c r="B125" s="3" t="s">
        <v>282</v>
      </c>
      <c r="C125" s="6" t="s">
        <v>1498</v>
      </c>
      <c r="D125" s="3" t="s">
        <v>52</v>
      </c>
      <c r="E125" s="3"/>
    </row>
    <row r="126" spans="1:5" x14ac:dyDescent="0.2">
      <c r="A126" s="3" t="s">
        <v>283</v>
      </c>
      <c r="B126" s="3" t="s">
        <v>284</v>
      </c>
      <c r="C126" s="6" t="s">
        <v>1501</v>
      </c>
      <c r="D126" s="3" t="s">
        <v>49</v>
      </c>
      <c r="E126" s="3"/>
    </row>
    <row r="127" spans="1:5" x14ac:dyDescent="0.2">
      <c r="A127" s="3" t="s">
        <v>285</v>
      </c>
      <c r="B127" s="3" t="s">
        <v>286</v>
      </c>
      <c r="C127" s="6" t="s">
        <v>1500</v>
      </c>
      <c r="D127" s="3" t="s">
        <v>49</v>
      </c>
      <c r="E127" s="3"/>
    </row>
    <row r="128" spans="1:5" x14ac:dyDescent="0.2">
      <c r="A128" s="3" t="s">
        <v>287</v>
      </c>
      <c r="B128" s="3" t="s">
        <v>288</v>
      </c>
      <c r="C128" s="6" t="s">
        <v>1499</v>
      </c>
      <c r="D128" s="3" t="s">
        <v>52</v>
      </c>
      <c r="E128" s="3"/>
    </row>
    <row r="129" spans="1:5" x14ac:dyDescent="0.2">
      <c r="A129" s="3" t="s">
        <v>289</v>
      </c>
      <c r="B129" s="3" t="s">
        <v>290</v>
      </c>
      <c r="C129" s="6" t="s">
        <v>1499</v>
      </c>
      <c r="D129" s="3" t="s">
        <v>52</v>
      </c>
      <c r="E129" s="3"/>
    </row>
    <row r="130" spans="1:5" x14ac:dyDescent="0.2">
      <c r="A130" s="3" t="s">
        <v>291</v>
      </c>
      <c r="B130" s="3" t="s">
        <v>292</v>
      </c>
      <c r="C130" s="6" t="s">
        <v>1498</v>
      </c>
      <c r="D130" s="3" t="s">
        <v>52</v>
      </c>
      <c r="E130" s="3"/>
    </row>
    <row r="131" spans="1:5" x14ac:dyDescent="0.2">
      <c r="A131" s="3" t="s">
        <v>293</v>
      </c>
      <c r="B131" s="3" t="s">
        <v>294</v>
      </c>
      <c r="C131" s="6" t="s">
        <v>1501</v>
      </c>
      <c r="D131" s="3" t="s">
        <v>52</v>
      </c>
      <c r="E131" s="3"/>
    </row>
    <row r="132" spans="1:5" x14ac:dyDescent="0.2">
      <c r="A132" s="3" t="s">
        <v>295</v>
      </c>
      <c r="B132" s="3" t="s">
        <v>296</v>
      </c>
      <c r="C132" s="6" t="s">
        <v>1500</v>
      </c>
      <c r="D132" s="3" t="s">
        <v>52</v>
      </c>
      <c r="E132" s="3"/>
    </row>
    <row r="133" spans="1:5" x14ac:dyDescent="0.2">
      <c r="A133" s="3" t="s">
        <v>297</v>
      </c>
      <c r="B133" s="3" t="s">
        <v>298</v>
      </c>
      <c r="C133" s="6" t="s">
        <v>1499</v>
      </c>
      <c r="D133" s="3" t="s">
        <v>49</v>
      </c>
      <c r="E133" s="3"/>
    </row>
    <row r="134" spans="1:5" x14ac:dyDescent="0.2">
      <c r="A134" s="3" t="s">
        <v>299</v>
      </c>
      <c r="B134" s="3" t="s">
        <v>300</v>
      </c>
      <c r="C134" s="6" t="s">
        <v>1499</v>
      </c>
      <c r="D134" s="3" t="s">
        <v>49</v>
      </c>
      <c r="E134" s="3"/>
    </row>
    <row r="135" spans="1:5" x14ac:dyDescent="0.2">
      <c r="A135" s="3" t="s">
        <v>301</v>
      </c>
      <c r="B135" s="3" t="s">
        <v>302</v>
      </c>
      <c r="C135" s="6" t="s">
        <v>1498</v>
      </c>
      <c r="D135" s="3" t="s">
        <v>52</v>
      </c>
      <c r="E135" s="3"/>
    </row>
    <row r="136" spans="1:5" x14ac:dyDescent="0.2">
      <c r="A136" s="3" t="s">
        <v>303</v>
      </c>
      <c r="B136" s="3" t="s">
        <v>304</v>
      </c>
      <c r="C136" s="6" t="s">
        <v>1501</v>
      </c>
      <c r="D136" s="3" t="s">
        <v>52</v>
      </c>
      <c r="E136" s="3"/>
    </row>
    <row r="137" spans="1:5" x14ac:dyDescent="0.2">
      <c r="A137" s="3" t="s">
        <v>305</v>
      </c>
      <c r="B137" s="3" t="s">
        <v>306</v>
      </c>
      <c r="C137" s="6" t="s">
        <v>1500</v>
      </c>
      <c r="D137" s="3" t="s">
        <v>52</v>
      </c>
      <c r="E137" s="3"/>
    </row>
    <row r="138" spans="1:5" x14ac:dyDescent="0.2">
      <c r="A138" s="3" t="s">
        <v>307</v>
      </c>
      <c r="B138" s="3" t="s">
        <v>308</v>
      </c>
      <c r="C138" s="6" t="s">
        <v>1499</v>
      </c>
      <c r="D138" s="3" t="s">
        <v>52</v>
      </c>
      <c r="E138" s="3"/>
    </row>
    <row r="139" spans="1:5" x14ac:dyDescent="0.2">
      <c r="A139" s="3" t="s">
        <v>309</v>
      </c>
      <c r="B139" s="3" t="s">
        <v>310</v>
      </c>
      <c r="C139" s="6" t="s">
        <v>1499</v>
      </c>
      <c r="D139" s="3" t="s">
        <v>52</v>
      </c>
      <c r="E139" s="3"/>
    </row>
    <row r="140" spans="1:5" x14ac:dyDescent="0.2">
      <c r="A140" s="3" t="s">
        <v>311</v>
      </c>
      <c r="B140" s="3" t="s">
        <v>312</v>
      </c>
      <c r="C140" s="6" t="s">
        <v>1498</v>
      </c>
      <c r="D140" s="3" t="s">
        <v>49</v>
      </c>
      <c r="E140" s="3"/>
    </row>
    <row r="141" spans="1:5" x14ac:dyDescent="0.2">
      <c r="A141" s="3" t="s">
        <v>313</v>
      </c>
      <c r="B141" s="3" t="s">
        <v>314</v>
      </c>
      <c r="C141" s="6" t="s">
        <v>1501</v>
      </c>
      <c r="D141" s="3" t="s">
        <v>52</v>
      </c>
      <c r="E141" s="3"/>
    </row>
    <row r="142" spans="1:5" x14ac:dyDescent="0.2">
      <c r="A142" s="3" t="s">
        <v>315</v>
      </c>
      <c r="B142" s="3" t="s">
        <v>316</v>
      </c>
      <c r="C142" s="6" t="s">
        <v>1500</v>
      </c>
      <c r="D142" s="3" t="s">
        <v>49</v>
      </c>
      <c r="E142" s="3"/>
    </row>
    <row r="143" spans="1:5" x14ac:dyDescent="0.2">
      <c r="A143" s="3" t="s">
        <v>317</v>
      </c>
      <c r="B143" s="3" t="s">
        <v>318</v>
      </c>
      <c r="C143" s="6" t="s">
        <v>1499</v>
      </c>
      <c r="D143" s="3" t="s">
        <v>49</v>
      </c>
      <c r="E143" s="3"/>
    </row>
    <row r="144" spans="1:5" x14ac:dyDescent="0.2">
      <c r="A144" s="3" t="s">
        <v>319</v>
      </c>
      <c r="B144" s="3" t="s">
        <v>320</v>
      </c>
      <c r="C144" s="6" t="s">
        <v>1499</v>
      </c>
      <c r="D144" s="3" t="s">
        <v>52</v>
      </c>
      <c r="E144" s="3"/>
    </row>
    <row r="145" spans="1:5" x14ac:dyDescent="0.2">
      <c r="A145" s="3" t="s">
        <v>321</v>
      </c>
      <c r="B145" s="3" t="s">
        <v>322</v>
      </c>
      <c r="C145" s="6" t="s">
        <v>1498</v>
      </c>
      <c r="D145" s="3" t="s">
        <v>52</v>
      </c>
      <c r="E145" s="3"/>
    </row>
    <row r="146" spans="1:5" x14ac:dyDescent="0.2">
      <c r="A146" s="3" t="s">
        <v>323</v>
      </c>
      <c r="B146" s="3" t="s">
        <v>324</v>
      </c>
      <c r="C146" s="6" t="s">
        <v>1501</v>
      </c>
      <c r="D146" s="3" t="s">
        <v>52</v>
      </c>
      <c r="E146" s="3"/>
    </row>
    <row r="147" spans="1:5" x14ac:dyDescent="0.2">
      <c r="A147" s="3" t="s">
        <v>325</v>
      </c>
      <c r="B147" s="3" t="s">
        <v>326</v>
      </c>
      <c r="C147" s="6" t="s">
        <v>1500</v>
      </c>
      <c r="D147" s="3" t="s">
        <v>52</v>
      </c>
      <c r="E147" s="3"/>
    </row>
    <row r="148" spans="1:5" x14ac:dyDescent="0.2">
      <c r="A148" s="3" t="s">
        <v>327</v>
      </c>
      <c r="B148" s="3" t="s">
        <v>328</v>
      </c>
      <c r="C148" s="6" t="s">
        <v>1499</v>
      </c>
      <c r="D148" s="3" t="s">
        <v>49</v>
      </c>
      <c r="E148" s="3"/>
    </row>
    <row r="149" spans="1:5" x14ac:dyDescent="0.2">
      <c r="A149" s="3" t="s">
        <v>329</v>
      </c>
      <c r="B149" s="3" t="s">
        <v>330</v>
      </c>
      <c r="C149" s="6" t="s">
        <v>1499</v>
      </c>
      <c r="D149" s="3" t="s">
        <v>49</v>
      </c>
      <c r="E149" s="3"/>
    </row>
    <row r="150" spans="1:5" x14ac:dyDescent="0.2">
      <c r="A150" s="3" t="s">
        <v>331</v>
      </c>
      <c r="B150" s="3" t="s">
        <v>332</v>
      </c>
      <c r="C150" s="6" t="s">
        <v>1498</v>
      </c>
      <c r="D150" s="3" t="s">
        <v>49</v>
      </c>
      <c r="E150" s="3"/>
    </row>
    <row r="151" spans="1:5" x14ac:dyDescent="0.2">
      <c r="A151" s="3" t="s">
        <v>333</v>
      </c>
      <c r="B151" s="3" t="s">
        <v>334</v>
      </c>
      <c r="C151" s="6" t="s">
        <v>1501</v>
      </c>
      <c r="D151" s="3" t="s">
        <v>52</v>
      </c>
      <c r="E151" s="3"/>
    </row>
    <row r="152" spans="1:5" x14ac:dyDescent="0.2">
      <c r="A152" s="3" t="s">
        <v>335</v>
      </c>
      <c r="B152" s="3" t="s">
        <v>336</v>
      </c>
      <c r="C152" s="6" t="s">
        <v>1500</v>
      </c>
      <c r="D152" s="3" t="s">
        <v>49</v>
      </c>
      <c r="E152" s="3"/>
    </row>
    <row r="153" spans="1:5" x14ac:dyDescent="0.2">
      <c r="A153" s="3" t="s">
        <v>337</v>
      </c>
      <c r="B153" s="3" t="s">
        <v>338</v>
      </c>
      <c r="C153" s="6" t="s">
        <v>1499</v>
      </c>
      <c r="D153" s="3" t="s">
        <v>52</v>
      </c>
      <c r="E153" s="3"/>
    </row>
    <row r="154" spans="1:5" x14ac:dyDescent="0.2">
      <c r="A154" s="3" t="s">
        <v>339</v>
      </c>
      <c r="B154" s="3" t="s">
        <v>340</v>
      </c>
      <c r="C154" s="6" t="s">
        <v>1499</v>
      </c>
      <c r="D154" s="3" t="s">
        <v>49</v>
      </c>
      <c r="E154" s="3"/>
    </row>
    <row r="155" spans="1:5" x14ac:dyDescent="0.2">
      <c r="A155" s="3" t="s">
        <v>341</v>
      </c>
      <c r="B155" s="3" t="s">
        <v>342</v>
      </c>
      <c r="C155" s="6" t="s">
        <v>1498</v>
      </c>
      <c r="D155" s="3" t="s">
        <v>52</v>
      </c>
      <c r="E155" s="3"/>
    </row>
    <row r="156" spans="1:5" x14ac:dyDescent="0.2">
      <c r="A156" s="3" t="s">
        <v>343</v>
      </c>
      <c r="B156" s="3" t="s">
        <v>344</v>
      </c>
      <c r="C156" s="6" t="s">
        <v>1501</v>
      </c>
      <c r="D156" s="3" t="s">
        <v>49</v>
      </c>
      <c r="E156" s="3"/>
    </row>
    <row r="157" spans="1:5" x14ac:dyDescent="0.2">
      <c r="A157" s="3" t="s">
        <v>345</v>
      </c>
      <c r="B157" s="3" t="s">
        <v>346</v>
      </c>
      <c r="C157" s="6" t="s">
        <v>1500</v>
      </c>
      <c r="D157" s="3" t="s">
        <v>52</v>
      </c>
      <c r="E157" s="3"/>
    </row>
    <row r="158" spans="1:5" x14ac:dyDescent="0.2">
      <c r="A158" s="3" t="s">
        <v>347</v>
      </c>
      <c r="B158" s="3" t="s">
        <v>348</v>
      </c>
      <c r="C158" s="6" t="s">
        <v>1499</v>
      </c>
      <c r="D158" s="3" t="s">
        <v>52</v>
      </c>
      <c r="E158" s="3"/>
    </row>
    <row r="159" spans="1:5" x14ac:dyDescent="0.2">
      <c r="A159" s="3" t="s">
        <v>349</v>
      </c>
      <c r="B159" s="3" t="s">
        <v>350</v>
      </c>
      <c r="C159" s="6" t="s">
        <v>1499</v>
      </c>
      <c r="D159" s="3" t="s">
        <v>52</v>
      </c>
      <c r="E159" s="3"/>
    </row>
    <row r="160" spans="1:5" x14ac:dyDescent="0.2">
      <c r="A160" s="3" t="s">
        <v>351</v>
      </c>
      <c r="B160" s="3" t="s">
        <v>352</v>
      </c>
      <c r="C160" s="6" t="s">
        <v>1498</v>
      </c>
      <c r="D160" s="3" t="s">
        <v>52</v>
      </c>
      <c r="E160" s="3"/>
    </row>
    <row r="161" spans="1:5" x14ac:dyDescent="0.2">
      <c r="A161" s="3" t="s">
        <v>353</v>
      </c>
      <c r="B161" s="3" t="s">
        <v>354</v>
      </c>
      <c r="C161" s="6" t="s">
        <v>1501</v>
      </c>
      <c r="D161" s="3" t="s">
        <v>49</v>
      </c>
      <c r="E161" s="3"/>
    </row>
    <row r="162" spans="1:5" x14ac:dyDescent="0.2">
      <c r="A162" s="3" t="s">
        <v>355</v>
      </c>
      <c r="B162" s="3" t="s">
        <v>356</v>
      </c>
      <c r="C162" s="6" t="s">
        <v>1500</v>
      </c>
      <c r="D162" s="3" t="s">
        <v>52</v>
      </c>
      <c r="E162" s="3"/>
    </row>
    <row r="163" spans="1:5" x14ac:dyDescent="0.2">
      <c r="A163" s="3" t="s">
        <v>357</v>
      </c>
      <c r="B163" s="3" t="s">
        <v>358</v>
      </c>
      <c r="C163" s="6" t="s">
        <v>1499</v>
      </c>
      <c r="D163" s="3" t="s">
        <v>52</v>
      </c>
      <c r="E163" s="3"/>
    </row>
    <row r="164" spans="1:5" x14ac:dyDescent="0.2">
      <c r="A164" s="3" t="s">
        <v>359</v>
      </c>
      <c r="B164" s="3" t="s">
        <v>360</v>
      </c>
      <c r="C164" s="6" t="s">
        <v>1499</v>
      </c>
      <c r="D164" s="3" t="s">
        <v>49</v>
      </c>
      <c r="E164" s="3"/>
    </row>
    <row r="165" spans="1:5" x14ac:dyDescent="0.2">
      <c r="A165" s="3" t="s">
        <v>361</v>
      </c>
      <c r="B165" s="3" t="s">
        <v>362</v>
      </c>
      <c r="C165" s="6" t="s">
        <v>1498</v>
      </c>
      <c r="D165" s="3" t="s">
        <v>49</v>
      </c>
      <c r="E165" s="3"/>
    </row>
    <row r="166" spans="1:5" x14ac:dyDescent="0.2">
      <c r="A166" s="3" t="s">
        <v>363</v>
      </c>
      <c r="B166" s="3" t="s">
        <v>364</v>
      </c>
      <c r="C166" s="6" t="s">
        <v>1501</v>
      </c>
      <c r="D166" s="3" t="s">
        <v>49</v>
      </c>
      <c r="E166" s="3"/>
    </row>
    <row r="167" spans="1:5" x14ac:dyDescent="0.2">
      <c r="A167" s="3" t="s">
        <v>365</v>
      </c>
      <c r="B167" s="3" t="s">
        <v>366</v>
      </c>
      <c r="C167" s="6" t="s">
        <v>1500</v>
      </c>
      <c r="D167" s="3" t="s">
        <v>49</v>
      </c>
      <c r="E167" s="3"/>
    </row>
    <row r="168" spans="1:5" x14ac:dyDescent="0.2">
      <c r="A168" s="3" t="s">
        <v>367</v>
      </c>
      <c r="B168" s="3" t="s">
        <v>368</v>
      </c>
      <c r="C168" s="6" t="s">
        <v>1499</v>
      </c>
      <c r="D168" s="3" t="s">
        <v>52</v>
      </c>
      <c r="E168" s="3"/>
    </row>
    <row r="169" spans="1:5" x14ac:dyDescent="0.2">
      <c r="A169" s="3" t="s">
        <v>369</v>
      </c>
      <c r="B169" s="3" t="s">
        <v>370</v>
      </c>
      <c r="C169" s="6" t="s">
        <v>1499</v>
      </c>
      <c r="D169" s="3" t="s">
        <v>52</v>
      </c>
      <c r="E169" s="3"/>
    </row>
    <row r="170" spans="1:5" x14ac:dyDescent="0.2">
      <c r="A170" s="3" t="s">
        <v>371</v>
      </c>
      <c r="B170" s="3" t="s">
        <v>372</v>
      </c>
      <c r="C170" s="6" t="s">
        <v>1498</v>
      </c>
      <c r="D170" s="3" t="s">
        <v>52</v>
      </c>
      <c r="E170" s="3"/>
    </row>
    <row r="171" spans="1:5" x14ac:dyDescent="0.2">
      <c r="A171" s="3" t="s">
        <v>373</v>
      </c>
      <c r="B171" s="3" t="s">
        <v>374</v>
      </c>
      <c r="C171" s="6" t="s">
        <v>1501</v>
      </c>
      <c r="D171" s="3" t="s">
        <v>49</v>
      </c>
      <c r="E171" s="3"/>
    </row>
    <row r="172" spans="1:5" x14ac:dyDescent="0.2">
      <c r="A172" s="3" t="s">
        <v>375</v>
      </c>
      <c r="B172" s="3" t="s">
        <v>376</v>
      </c>
      <c r="C172" s="6" t="s">
        <v>1500</v>
      </c>
      <c r="D172" s="3" t="s">
        <v>49</v>
      </c>
      <c r="E172" s="3"/>
    </row>
    <row r="173" spans="1:5" x14ac:dyDescent="0.2">
      <c r="A173" s="3" t="s">
        <v>377</v>
      </c>
      <c r="B173" s="3" t="s">
        <v>378</v>
      </c>
      <c r="C173" s="6" t="s">
        <v>1499</v>
      </c>
      <c r="D173" s="3" t="s">
        <v>49</v>
      </c>
      <c r="E173" s="3"/>
    </row>
    <row r="174" spans="1:5" x14ac:dyDescent="0.2">
      <c r="A174" s="3" t="s">
        <v>379</v>
      </c>
      <c r="B174" s="3" t="s">
        <v>380</v>
      </c>
      <c r="C174" s="6" t="s">
        <v>1499</v>
      </c>
      <c r="D174" s="3" t="s">
        <v>52</v>
      </c>
      <c r="E174" s="3"/>
    </row>
    <row r="175" spans="1:5" x14ac:dyDescent="0.2">
      <c r="A175" s="3" t="s">
        <v>381</v>
      </c>
      <c r="B175" s="3" t="s">
        <v>382</v>
      </c>
      <c r="C175" s="6" t="s">
        <v>1498</v>
      </c>
      <c r="D175" s="3" t="s">
        <v>49</v>
      </c>
      <c r="E175" s="3"/>
    </row>
    <row r="176" spans="1:5" x14ac:dyDescent="0.2">
      <c r="A176" s="3" t="s">
        <v>383</v>
      </c>
      <c r="B176" s="3" t="s">
        <v>384</v>
      </c>
      <c r="C176" s="6" t="s">
        <v>1501</v>
      </c>
      <c r="D176" s="3" t="s">
        <v>49</v>
      </c>
      <c r="E176" s="3"/>
    </row>
    <row r="177" spans="1:5" x14ac:dyDescent="0.2">
      <c r="A177" s="3" t="s">
        <v>385</v>
      </c>
      <c r="B177" s="3" t="s">
        <v>386</v>
      </c>
      <c r="C177" s="6" t="s">
        <v>1500</v>
      </c>
      <c r="D177" s="3" t="s">
        <v>49</v>
      </c>
      <c r="E177" s="3"/>
    </row>
    <row r="178" spans="1:5" x14ac:dyDescent="0.2">
      <c r="A178" s="3" t="s">
        <v>387</v>
      </c>
      <c r="B178" s="3" t="s">
        <v>388</v>
      </c>
      <c r="C178" s="6" t="s">
        <v>1499</v>
      </c>
      <c r="D178" s="3" t="s">
        <v>49</v>
      </c>
      <c r="E178" s="3"/>
    </row>
    <row r="179" spans="1:5" x14ac:dyDescent="0.2">
      <c r="A179" s="3" t="s">
        <v>389</v>
      </c>
      <c r="B179" s="3" t="s">
        <v>390</v>
      </c>
      <c r="C179" s="6" t="s">
        <v>1499</v>
      </c>
      <c r="D179" s="3" t="s">
        <v>49</v>
      </c>
      <c r="E179" s="3"/>
    </row>
    <row r="180" spans="1:5" x14ac:dyDescent="0.2">
      <c r="A180" s="3" t="s">
        <v>391</v>
      </c>
      <c r="B180" s="3" t="s">
        <v>392</v>
      </c>
      <c r="C180" s="6" t="s">
        <v>1498</v>
      </c>
      <c r="D180" s="3" t="s">
        <v>49</v>
      </c>
      <c r="E180" s="3"/>
    </row>
    <row r="181" spans="1:5" x14ac:dyDescent="0.2">
      <c r="A181" s="3" t="s">
        <v>393</v>
      </c>
      <c r="B181" s="3" t="s">
        <v>394</v>
      </c>
      <c r="C181" s="6" t="s">
        <v>1501</v>
      </c>
      <c r="D181" s="3" t="s">
        <v>49</v>
      </c>
      <c r="E181" s="3"/>
    </row>
    <row r="182" spans="1:5" x14ac:dyDescent="0.2">
      <c r="A182" s="3" t="s">
        <v>395</v>
      </c>
      <c r="B182" s="3" t="s">
        <v>396</v>
      </c>
      <c r="C182" s="6" t="s">
        <v>1500</v>
      </c>
      <c r="D182" s="3" t="s">
        <v>52</v>
      </c>
      <c r="E182" s="3"/>
    </row>
    <row r="183" spans="1:5" x14ac:dyDescent="0.2">
      <c r="A183" s="3" t="s">
        <v>397</v>
      </c>
      <c r="B183" s="3" t="s">
        <v>398</v>
      </c>
      <c r="C183" s="6" t="s">
        <v>1499</v>
      </c>
      <c r="D183" s="3" t="s">
        <v>49</v>
      </c>
      <c r="E183" s="3"/>
    </row>
    <row r="184" spans="1:5" x14ac:dyDescent="0.2">
      <c r="A184" s="3" t="s">
        <v>399</v>
      </c>
      <c r="B184" s="3" t="s">
        <v>400</v>
      </c>
      <c r="C184" s="6" t="s">
        <v>1499</v>
      </c>
      <c r="D184" s="3" t="s">
        <v>52</v>
      </c>
      <c r="E184" s="3"/>
    </row>
    <row r="185" spans="1:5" x14ac:dyDescent="0.2">
      <c r="A185" s="3" t="s">
        <v>401</v>
      </c>
      <c r="B185" s="3" t="s">
        <v>402</v>
      </c>
      <c r="C185" s="6" t="s">
        <v>1498</v>
      </c>
      <c r="D185" s="3" t="s">
        <v>49</v>
      </c>
      <c r="E185" s="3"/>
    </row>
    <row r="186" spans="1:5" x14ac:dyDescent="0.2">
      <c r="A186" s="3" t="s">
        <v>403</v>
      </c>
      <c r="B186" s="3" t="s">
        <v>404</v>
      </c>
      <c r="C186" s="6" t="s">
        <v>1501</v>
      </c>
      <c r="D186" s="3" t="s">
        <v>49</v>
      </c>
      <c r="E186" s="3"/>
    </row>
    <row r="187" spans="1:5" x14ac:dyDescent="0.2">
      <c r="A187" s="3" t="s">
        <v>405</v>
      </c>
      <c r="B187" s="3" t="s">
        <v>406</v>
      </c>
      <c r="C187" s="6" t="s">
        <v>1500</v>
      </c>
      <c r="D187" s="3" t="s">
        <v>52</v>
      </c>
      <c r="E187" s="3"/>
    </row>
    <row r="188" spans="1:5" x14ac:dyDescent="0.2">
      <c r="A188" s="3" t="s">
        <v>407</v>
      </c>
      <c r="B188" s="3" t="s">
        <v>408</v>
      </c>
      <c r="C188" s="6" t="s">
        <v>1499</v>
      </c>
      <c r="D188" s="3" t="s">
        <v>49</v>
      </c>
      <c r="E188" s="3"/>
    </row>
    <row r="189" spans="1:5" x14ac:dyDescent="0.2">
      <c r="A189" s="3" t="s">
        <v>409</v>
      </c>
      <c r="B189" s="3" t="s">
        <v>410</v>
      </c>
      <c r="C189" s="6" t="s">
        <v>1499</v>
      </c>
      <c r="D189" s="3" t="s">
        <v>52</v>
      </c>
      <c r="E189" s="3"/>
    </row>
    <row r="190" spans="1:5" x14ac:dyDescent="0.2">
      <c r="A190" s="3" t="s">
        <v>411</v>
      </c>
      <c r="B190" s="3" t="s">
        <v>412</v>
      </c>
      <c r="C190" s="6" t="s">
        <v>1498</v>
      </c>
      <c r="D190" s="3" t="s">
        <v>49</v>
      </c>
      <c r="E190" s="3"/>
    </row>
    <row r="191" spans="1:5" x14ac:dyDescent="0.2">
      <c r="A191" s="3" t="s">
        <v>413</v>
      </c>
      <c r="B191" s="3" t="s">
        <v>414</v>
      </c>
      <c r="C191" s="6" t="s">
        <v>1501</v>
      </c>
      <c r="D191" s="3" t="s">
        <v>49</v>
      </c>
      <c r="E191" s="3"/>
    </row>
    <row r="192" spans="1:5" x14ac:dyDescent="0.2">
      <c r="A192" s="3" t="s">
        <v>415</v>
      </c>
      <c r="B192" s="3" t="s">
        <v>416</v>
      </c>
      <c r="C192" s="6" t="s">
        <v>1500</v>
      </c>
      <c r="D192" s="3" t="s">
        <v>52</v>
      </c>
      <c r="E192" s="3"/>
    </row>
    <row r="193" spans="1:5" x14ac:dyDescent="0.2">
      <c r="A193" s="3" t="s">
        <v>417</v>
      </c>
      <c r="B193" s="3" t="s">
        <v>418</v>
      </c>
      <c r="C193" s="6" t="s">
        <v>1499</v>
      </c>
      <c r="D193" s="3" t="s">
        <v>52</v>
      </c>
      <c r="E193" s="3"/>
    </row>
    <row r="194" spans="1:5" x14ac:dyDescent="0.2">
      <c r="A194" s="3" t="s">
        <v>419</v>
      </c>
      <c r="B194" s="3" t="s">
        <v>420</v>
      </c>
      <c r="C194" s="6" t="s">
        <v>1499</v>
      </c>
      <c r="D194" s="3" t="s">
        <v>52</v>
      </c>
      <c r="E194" s="3"/>
    </row>
    <row r="195" spans="1:5" x14ac:dyDescent="0.2">
      <c r="A195" s="3" t="s">
        <v>421</v>
      </c>
      <c r="B195" s="3" t="s">
        <v>422</v>
      </c>
      <c r="C195" s="6" t="s">
        <v>1498</v>
      </c>
      <c r="D195" s="3" t="s">
        <v>52</v>
      </c>
      <c r="E195" s="3"/>
    </row>
    <row r="196" spans="1:5" x14ac:dyDescent="0.2">
      <c r="A196" s="3" t="s">
        <v>423</v>
      </c>
      <c r="B196" s="3" t="s">
        <v>424</v>
      </c>
      <c r="C196" s="6" t="s">
        <v>1501</v>
      </c>
      <c r="D196" s="3" t="s">
        <v>49</v>
      </c>
      <c r="E196" s="3"/>
    </row>
    <row r="197" spans="1:5" x14ac:dyDescent="0.2">
      <c r="A197" s="3" t="s">
        <v>425</v>
      </c>
      <c r="B197" s="3" t="s">
        <v>426</v>
      </c>
      <c r="C197" s="6" t="s">
        <v>1500</v>
      </c>
      <c r="D197" s="3" t="s">
        <v>52</v>
      </c>
      <c r="E197" s="3"/>
    </row>
    <row r="198" spans="1:5" x14ac:dyDescent="0.2">
      <c r="A198" s="3" t="s">
        <v>427</v>
      </c>
      <c r="B198" s="3" t="s">
        <v>428</v>
      </c>
      <c r="C198" s="6" t="s">
        <v>1499</v>
      </c>
      <c r="D198" s="3" t="s">
        <v>49</v>
      </c>
      <c r="E198" s="3"/>
    </row>
    <row r="199" spans="1:5" x14ac:dyDescent="0.2">
      <c r="A199" s="3" t="s">
        <v>429</v>
      </c>
      <c r="B199" s="3" t="s">
        <v>430</v>
      </c>
      <c r="C199" s="6" t="s">
        <v>1499</v>
      </c>
      <c r="D199" s="3" t="s">
        <v>49</v>
      </c>
      <c r="E199" s="3"/>
    </row>
    <row r="200" spans="1:5" x14ac:dyDescent="0.2">
      <c r="A200" s="3" t="s">
        <v>431</v>
      </c>
      <c r="B200" s="3" t="s">
        <v>432</v>
      </c>
      <c r="C200" s="6" t="s">
        <v>1498</v>
      </c>
      <c r="D200" s="3" t="s">
        <v>52</v>
      </c>
      <c r="E200" s="3"/>
    </row>
    <row r="201" spans="1:5" x14ac:dyDescent="0.2">
      <c r="A201" s="3" t="s">
        <v>433</v>
      </c>
      <c r="B201" s="3" t="s">
        <v>434</v>
      </c>
      <c r="C201" s="6" t="s">
        <v>1501</v>
      </c>
      <c r="D201" s="3" t="s">
        <v>52</v>
      </c>
      <c r="E201" s="3"/>
    </row>
    <row r="202" spans="1:5" x14ac:dyDescent="0.2">
      <c r="A202" s="3" t="s">
        <v>435</v>
      </c>
      <c r="B202" s="3" t="s">
        <v>436</v>
      </c>
      <c r="C202" s="6" t="s">
        <v>1500</v>
      </c>
      <c r="D202" s="3" t="s">
        <v>52</v>
      </c>
      <c r="E202" s="3"/>
    </row>
    <row r="203" spans="1:5" x14ac:dyDescent="0.2">
      <c r="A203" s="3" t="s">
        <v>437</v>
      </c>
      <c r="B203" s="3" t="s">
        <v>438</v>
      </c>
      <c r="C203" s="6" t="s">
        <v>1499</v>
      </c>
      <c r="D203" s="3" t="s">
        <v>49</v>
      </c>
      <c r="E203" s="3"/>
    </row>
    <row r="204" spans="1:5" x14ac:dyDescent="0.2">
      <c r="A204" s="3" t="s">
        <v>439</v>
      </c>
      <c r="B204" s="3" t="s">
        <v>440</v>
      </c>
      <c r="C204" s="6" t="s">
        <v>1499</v>
      </c>
      <c r="D204" s="3" t="s">
        <v>49</v>
      </c>
      <c r="E204" s="3"/>
    </row>
    <row r="205" spans="1:5" x14ac:dyDescent="0.2">
      <c r="A205" s="3" t="s">
        <v>441</v>
      </c>
      <c r="B205" s="3" t="s">
        <v>442</v>
      </c>
      <c r="C205" s="6" t="s">
        <v>1498</v>
      </c>
      <c r="D205" s="3" t="s">
        <v>52</v>
      </c>
      <c r="E205" s="3"/>
    </row>
    <row r="206" spans="1:5" x14ac:dyDescent="0.2">
      <c r="A206" s="3" t="s">
        <v>443</v>
      </c>
      <c r="B206" s="3" t="s">
        <v>444</v>
      </c>
      <c r="C206" s="6" t="s">
        <v>1501</v>
      </c>
      <c r="D206" s="3" t="s">
        <v>49</v>
      </c>
      <c r="E206" s="3"/>
    </row>
    <row r="207" spans="1:5" x14ac:dyDescent="0.2">
      <c r="A207" s="3" t="s">
        <v>445</v>
      </c>
      <c r="B207" s="3" t="s">
        <v>446</v>
      </c>
      <c r="C207" s="6" t="s">
        <v>1500</v>
      </c>
      <c r="D207" s="3" t="s">
        <v>52</v>
      </c>
      <c r="E207" s="3"/>
    </row>
    <row r="208" spans="1:5" x14ac:dyDescent="0.2">
      <c r="A208" s="3" t="s">
        <v>447</v>
      </c>
      <c r="B208" s="3" t="s">
        <v>448</v>
      </c>
      <c r="C208" s="6" t="s">
        <v>1499</v>
      </c>
      <c r="D208" s="3" t="s">
        <v>49</v>
      </c>
      <c r="E208" s="3"/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05E45-0B12-4812-B6D9-ABFEDCBA9DAD}">
  <sheetPr codeName="Hoja4"/>
  <dimension ref="A8:J1008"/>
  <sheetViews>
    <sheetView workbookViewId="0">
      <selection activeCell="E9" sqref="E9"/>
    </sheetView>
  </sheetViews>
  <sheetFormatPr baseColWidth="10" defaultRowHeight="12.75" x14ac:dyDescent="0.2"/>
  <cols>
    <col min="1" max="1" width="11.140625" bestFit="1" customWidth="1"/>
    <col min="2" max="2" width="10.140625" bestFit="1" customWidth="1"/>
    <col min="3" max="3" width="12.140625" bestFit="1" customWidth="1"/>
    <col min="4" max="4" width="13.85546875" bestFit="1" customWidth="1"/>
    <col min="5" max="5" width="19.28515625" bestFit="1" customWidth="1"/>
    <col min="6" max="6" width="17" bestFit="1" customWidth="1"/>
    <col min="7" max="7" width="13.5703125" bestFit="1" customWidth="1"/>
    <col min="9" max="9" width="16.85546875" bestFit="1" customWidth="1"/>
    <col min="10" max="10" width="13.7109375" bestFit="1" customWidth="1"/>
  </cols>
  <sheetData>
    <row r="8" spans="1:10" x14ac:dyDescent="0.2">
      <c r="A8" t="s">
        <v>0</v>
      </c>
      <c r="B8" t="s">
        <v>1</v>
      </c>
      <c r="C8" t="s">
        <v>43</v>
      </c>
      <c r="D8" t="s">
        <v>449</v>
      </c>
      <c r="E8" s="1" t="s">
        <v>1478</v>
      </c>
      <c r="F8" s="1" t="s">
        <v>6</v>
      </c>
      <c r="G8" t="s">
        <v>450</v>
      </c>
      <c r="H8" t="s">
        <v>4</v>
      </c>
      <c r="I8" t="s">
        <v>5</v>
      </c>
      <c r="J8" t="s">
        <v>20</v>
      </c>
    </row>
    <row r="9" spans="1:10" x14ac:dyDescent="0.2">
      <c r="A9" s="3" t="s">
        <v>451</v>
      </c>
      <c r="B9" s="5">
        <v>45029</v>
      </c>
      <c r="C9" s="3" t="s">
        <v>53</v>
      </c>
      <c r="D9" s="3" t="s">
        <v>452</v>
      </c>
      <c r="E9" s="3" t="str">
        <f>VLOOKUP(ventas[[#This Row],[ID Producto]],productos[#All],3,FALSE)</f>
        <v>Carnes</v>
      </c>
      <c r="F9" s="9" t="s">
        <v>15</v>
      </c>
      <c r="G9" s="3" t="s">
        <v>453</v>
      </c>
      <c r="H9">
        <v>1</v>
      </c>
      <c r="I9">
        <v>4327</v>
      </c>
      <c r="J9">
        <v>4327</v>
      </c>
    </row>
    <row r="10" spans="1:10" x14ac:dyDescent="0.2">
      <c r="A10" s="3" t="s">
        <v>454</v>
      </c>
      <c r="B10" s="5">
        <v>45179</v>
      </c>
      <c r="C10" s="3" t="s">
        <v>145</v>
      </c>
      <c r="D10" s="3" t="s">
        <v>452</v>
      </c>
      <c r="E10" s="3" t="str">
        <f>VLOOKUP(ventas[[#This Row],[ID Producto]],productos[#All],3,FALSE)</f>
        <v>Carnes</v>
      </c>
      <c r="F10" s="9" t="s">
        <v>9</v>
      </c>
      <c r="G10" s="3" t="s">
        <v>453</v>
      </c>
      <c r="H10">
        <v>6</v>
      </c>
      <c r="I10">
        <v>4327</v>
      </c>
      <c r="J10">
        <v>25962</v>
      </c>
    </row>
    <row r="11" spans="1:10" x14ac:dyDescent="0.2">
      <c r="A11" s="3" t="s">
        <v>455</v>
      </c>
      <c r="B11" s="5">
        <v>45246</v>
      </c>
      <c r="C11" s="3" t="s">
        <v>175</v>
      </c>
      <c r="D11" s="3" t="s">
        <v>452</v>
      </c>
      <c r="E11" s="3" t="str">
        <f>VLOOKUP(ventas[[#This Row],[ID Producto]],productos[#All],3,FALSE)</f>
        <v>Carnes</v>
      </c>
      <c r="F11" s="9" t="s">
        <v>11</v>
      </c>
      <c r="G11" s="3" t="s">
        <v>456</v>
      </c>
      <c r="H11">
        <v>1</v>
      </c>
      <c r="I11">
        <v>4327</v>
      </c>
      <c r="J11">
        <v>4327</v>
      </c>
    </row>
    <row r="12" spans="1:10" x14ac:dyDescent="0.2">
      <c r="A12" s="3" t="s">
        <v>457</v>
      </c>
      <c r="B12" s="5">
        <v>45144</v>
      </c>
      <c r="C12" s="3" t="s">
        <v>111</v>
      </c>
      <c r="D12" s="3" t="s">
        <v>452</v>
      </c>
      <c r="E12" s="3" t="str">
        <f>VLOOKUP(ventas[[#This Row],[ID Producto]],productos[#All],3,FALSE)</f>
        <v>Carnes</v>
      </c>
      <c r="F12" s="10" t="s">
        <v>9</v>
      </c>
      <c r="G12" s="3" t="s">
        <v>456</v>
      </c>
      <c r="H12">
        <v>8</v>
      </c>
      <c r="I12">
        <v>4327</v>
      </c>
      <c r="J12">
        <v>34616</v>
      </c>
    </row>
    <row r="13" spans="1:10" x14ac:dyDescent="0.2">
      <c r="A13" s="3" t="s">
        <v>458</v>
      </c>
      <c r="B13" s="5">
        <v>45196</v>
      </c>
      <c r="C13" s="3" t="s">
        <v>241</v>
      </c>
      <c r="D13" s="3" t="s">
        <v>452</v>
      </c>
      <c r="E13" s="3" t="str">
        <f>VLOOKUP(ventas[[#This Row],[ID Producto]],productos[#All],3,FALSE)</f>
        <v>Carnes</v>
      </c>
      <c r="F13" s="10" t="s">
        <v>9</v>
      </c>
      <c r="G13" s="3" t="s">
        <v>453</v>
      </c>
      <c r="H13">
        <v>8</v>
      </c>
      <c r="I13">
        <v>4327</v>
      </c>
      <c r="J13">
        <v>34616</v>
      </c>
    </row>
    <row r="14" spans="1:10" x14ac:dyDescent="0.2">
      <c r="A14" s="3" t="s">
        <v>459</v>
      </c>
      <c r="B14" s="5">
        <v>45277</v>
      </c>
      <c r="C14" s="3" t="s">
        <v>93</v>
      </c>
      <c r="D14" s="3" t="s">
        <v>452</v>
      </c>
      <c r="E14" s="3" t="str">
        <f>VLOOKUP(ventas[[#This Row],[ID Producto]],productos[#All],3,FALSE)</f>
        <v>Carnes</v>
      </c>
      <c r="F14" s="9" t="s">
        <v>15</v>
      </c>
      <c r="G14" s="3" t="s">
        <v>456</v>
      </c>
      <c r="H14">
        <v>3</v>
      </c>
      <c r="I14">
        <v>4327</v>
      </c>
      <c r="J14">
        <v>12981</v>
      </c>
    </row>
    <row r="15" spans="1:10" x14ac:dyDescent="0.2">
      <c r="A15" s="3" t="s">
        <v>460</v>
      </c>
      <c r="B15" s="5">
        <v>44974</v>
      </c>
      <c r="C15" s="3" t="s">
        <v>283</v>
      </c>
      <c r="D15" s="3" t="s">
        <v>452</v>
      </c>
      <c r="E15" s="3" t="str">
        <f>VLOOKUP(ventas[[#This Row],[ID Producto]],productos[#All],3,FALSE)</f>
        <v>Carnes</v>
      </c>
      <c r="F15" s="9" t="s">
        <v>9</v>
      </c>
      <c r="G15" s="3" t="s">
        <v>456</v>
      </c>
      <c r="H15">
        <v>7</v>
      </c>
      <c r="I15">
        <v>4327</v>
      </c>
      <c r="J15">
        <v>30289</v>
      </c>
    </row>
    <row r="16" spans="1:10" x14ac:dyDescent="0.2">
      <c r="A16" s="3" t="s">
        <v>461</v>
      </c>
      <c r="B16" s="5">
        <v>45209</v>
      </c>
      <c r="C16" s="3" t="s">
        <v>307</v>
      </c>
      <c r="D16" s="3" t="s">
        <v>452</v>
      </c>
      <c r="E16" s="3" t="str">
        <f>VLOOKUP(ventas[[#This Row],[ID Producto]],productos[#All],3,FALSE)</f>
        <v>Carnes</v>
      </c>
      <c r="F16" s="9" t="s">
        <v>11</v>
      </c>
      <c r="G16" s="3" t="s">
        <v>456</v>
      </c>
      <c r="H16">
        <v>3</v>
      </c>
      <c r="I16">
        <v>4327</v>
      </c>
      <c r="J16">
        <v>12981</v>
      </c>
    </row>
    <row r="17" spans="1:10" x14ac:dyDescent="0.2">
      <c r="A17" s="3" t="s">
        <v>462</v>
      </c>
      <c r="B17" s="5">
        <v>45148</v>
      </c>
      <c r="C17" s="3" t="s">
        <v>195</v>
      </c>
      <c r="D17" s="3" t="s">
        <v>452</v>
      </c>
      <c r="E17" s="3" t="str">
        <f>VLOOKUP(ventas[[#This Row],[ID Producto]],productos[#All],3,FALSE)</f>
        <v>Carnes</v>
      </c>
      <c r="F17" s="10" t="s">
        <v>9</v>
      </c>
      <c r="G17" s="3" t="s">
        <v>463</v>
      </c>
      <c r="H17">
        <v>3</v>
      </c>
      <c r="I17">
        <v>4327</v>
      </c>
      <c r="J17">
        <v>12981</v>
      </c>
    </row>
    <row r="18" spans="1:10" x14ac:dyDescent="0.2">
      <c r="A18" s="3" t="s">
        <v>464</v>
      </c>
      <c r="B18" s="5">
        <v>45269</v>
      </c>
      <c r="C18" s="3" t="s">
        <v>123</v>
      </c>
      <c r="D18" s="3" t="s">
        <v>452</v>
      </c>
      <c r="E18" s="3" t="str">
        <f>VLOOKUP(ventas[[#This Row],[ID Producto]],productos[#All],3,FALSE)</f>
        <v>Carnes</v>
      </c>
      <c r="F18" s="10" t="s">
        <v>9</v>
      </c>
      <c r="G18" s="3" t="s">
        <v>453</v>
      </c>
      <c r="H18">
        <v>2</v>
      </c>
      <c r="I18">
        <v>4327</v>
      </c>
      <c r="J18">
        <v>8654</v>
      </c>
    </row>
    <row r="19" spans="1:10" x14ac:dyDescent="0.2">
      <c r="A19" s="3" t="s">
        <v>465</v>
      </c>
      <c r="B19" s="5">
        <v>45189</v>
      </c>
      <c r="C19" s="3" t="s">
        <v>363</v>
      </c>
      <c r="D19" s="3" t="s">
        <v>452</v>
      </c>
      <c r="E19" s="3" t="str">
        <f>VLOOKUP(ventas[[#This Row],[ID Producto]],productos[#All],3,FALSE)</f>
        <v>Carnes</v>
      </c>
      <c r="F19" s="9" t="s">
        <v>15</v>
      </c>
      <c r="G19" s="3" t="s">
        <v>463</v>
      </c>
      <c r="H19">
        <v>5</v>
      </c>
      <c r="I19">
        <v>4327</v>
      </c>
      <c r="J19">
        <v>21635</v>
      </c>
    </row>
    <row r="20" spans="1:10" x14ac:dyDescent="0.2">
      <c r="A20" s="3" t="s">
        <v>466</v>
      </c>
      <c r="B20" s="5">
        <v>44963</v>
      </c>
      <c r="C20" s="3" t="s">
        <v>203</v>
      </c>
      <c r="D20" s="3" t="s">
        <v>452</v>
      </c>
      <c r="E20" s="3" t="str">
        <f>VLOOKUP(ventas[[#This Row],[ID Producto]],productos[#All],3,FALSE)</f>
        <v>Carnes</v>
      </c>
      <c r="F20" s="9" t="s">
        <v>9</v>
      </c>
      <c r="G20" s="3" t="s">
        <v>463</v>
      </c>
      <c r="H20">
        <v>5</v>
      </c>
      <c r="I20">
        <v>4327</v>
      </c>
      <c r="J20">
        <v>21635</v>
      </c>
    </row>
    <row r="21" spans="1:10" x14ac:dyDescent="0.2">
      <c r="A21" s="3" t="s">
        <v>467</v>
      </c>
      <c r="B21" s="5">
        <v>45073</v>
      </c>
      <c r="C21" s="3" t="s">
        <v>275</v>
      </c>
      <c r="D21" s="3" t="s">
        <v>452</v>
      </c>
      <c r="E21" s="3" t="str">
        <f>VLOOKUP(ventas[[#This Row],[ID Producto]],productos[#All],3,FALSE)</f>
        <v>Carnes</v>
      </c>
      <c r="F21" s="9" t="s">
        <v>11</v>
      </c>
      <c r="G21" s="3" t="s">
        <v>456</v>
      </c>
      <c r="H21">
        <v>4</v>
      </c>
      <c r="I21">
        <v>4327</v>
      </c>
      <c r="J21">
        <v>17308</v>
      </c>
    </row>
    <row r="22" spans="1:10" x14ac:dyDescent="0.2">
      <c r="A22" s="3" t="s">
        <v>468</v>
      </c>
      <c r="B22" s="5">
        <v>45230</v>
      </c>
      <c r="C22" s="3" t="s">
        <v>379</v>
      </c>
      <c r="D22" s="3" t="s">
        <v>452</v>
      </c>
      <c r="E22" s="3" t="str">
        <f>VLOOKUP(ventas[[#This Row],[ID Producto]],productos[#All],3,FALSE)</f>
        <v>Carnes</v>
      </c>
      <c r="F22" s="10" t="s">
        <v>9</v>
      </c>
      <c r="G22" s="3" t="s">
        <v>463</v>
      </c>
      <c r="H22">
        <v>6</v>
      </c>
      <c r="I22">
        <v>4327</v>
      </c>
      <c r="J22">
        <v>25962</v>
      </c>
    </row>
    <row r="23" spans="1:10" x14ac:dyDescent="0.2">
      <c r="A23" s="3" t="s">
        <v>469</v>
      </c>
      <c r="B23" s="5">
        <v>45001</v>
      </c>
      <c r="C23" s="3" t="s">
        <v>253</v>
      </c>
      <c r="D23" s="3" t="s">
        <v>452</v>
      </c>
      <c r="E23" s="3" t="str">
        <f>VLOOKUP(ventas[[#This Row],[ID Producto]],productos[#All],3,FALSE)</f>
        <v>Carnes</v>
      </c>
      <c r="F23" s="10" t="s">
        <v>9</v>
      </c>
      <c r="G23" s="3" t="s">
        <v>463</v>
      </c>
      <c r="H23">
        <v>8</v>
      </c>
      <c r="I23">
        <v>4327</v>
      </c>
      <c r="J23">
        <v>34616</v>
      </c>
    </row>
    <row r="24" spans="1:10" x14ac:dyDescent="0.2">
      <c r="A24" s="3" t="s">
        <v>470</v>
      </c>
      <c r="B24" s="5">
        <v>45038</v>
      </c>
      <c r="C24" s="3" t="s">
        <v>295</v>
      </c>
      <c r="D24" s="3" t="s">
        <v>452</v>
      </c>
      <c r="E24" s="3" t="str">
        <f>VLOOKUP(ventas[[#This Row],[ID Producto]],productos[#All],3,FALSE)</f>
        <v>Carnes</v>
      </c>
      <c r="F24" s="9" t="s">
        <v>15</v>
      </c>
      <c r="G24" s="3" t="s">
        <v>463</v>
      </c>
      <c r="H24">
        <v>2</v>
      </c>
      <c r="I24">
        <v>4327</v>
      </c>
      <c r="J24">
        <v>8654</v>
      </c>
    </row>
    <row r="25" spans="1:10" x14ac:dyDescent="0.2">
      <c r="A25" s="3" t="s">
        <v>471</v>
      </c>
      <c r="B25" s="5">
        <v>45025</v>
      </c>
      <c r="C25" s="3" t="s">
        <v>221</v>
      </c>
      <c r="D25" s="3" t="s">
        <v>452</v>
      </c>
      <c r="E25" s="3" t="str">
        <f>VLOOKUP(ventas[[#This Row],[ID Producto]],productos[#All],3,FALSE)</f>
        <v>Carnes</v>
      </c>
      <c r="F25" s="9" t="s">
        <v>9</v>
      </c>
      <c r="G25" s="3" t="s">
        <v>453</v>
      </c>
      <c r="H25">
        <v>6</v>
      </c>
      <c r="I25">
        <v>4327</v>
      </c>
      <c r="J25">
        <v>25962</v>
      </c>
    </row>
    <row r="26" spans="1:10" x14ac:dyDescent="0.2">
      <c r="A26" s="3" t="s">
        <v>472</v>
      </c>
      <c r="B26" s="5">
        <v>44994</v>
      </c>
      <c r="C26" s="3" t="s">
        <v>421</v>
      </c>
      <c r="D26" s="3" t="s">
        <v>452</v>
      </c>
      <c r="E26" s="3" t="str">
        <f>VLOOKUP(ventas[[#This Row],[ID Producto]],productos[#All],3,FALSE)</f>
        <v>Carnes</v>
      </c>
      <c r="F26" s="9" t="s">
        <v>11</v>
      </c>
      <c r="G26" s="3" t="s">
        <v>456</v>
      </c>
      <c r="H26">
        <v>3</v>
      </c>
      <c r="I26">
        <v>4327</v>
      </c>
      <c r="J26">
        <v>12981</v>
      </c>
    </row>
    <row r="27" spans="1:10" x14ac:dyDescent="0.2">
      <c r="A27" s="3" t="s">
        <v>473</v>
      </c>
      <c r="B27" s="5">
        <v>45061</v>
      </c>
      <c r="C27" s="3" t="s">
        <v>149</v>
      </c>
      <c r="D27" s="3" t="s">
        <v>452</v>
      </c>
      <c r="E27" s="3" t="str">
        <f>VLOOKUP(ventas[[#This Row],[ID Producto]],productos[#All],3,FALSE)</f>
        <v>Carnes</v>
      </c>
      <c r="F27" s="10" t="s">
        <v>9</v>
      </c>
      <c r="G27" s="3" t="s">
        <v>463</v>
      </c>
      <c r="H27">
        <v>2</v>
      </c>
      <c r="I27">
        <v>4327</v>
      </c>
      <c r="J27">
        <v>8654</v>
      </c>
    </row>
    <row r="28" spans="1:10" x14ac:dyDescent="0.2">
      <c r="A28" s="3" t="s">
        <v>474</v>
      </c>
      <c r="B28" s="5">
        <v>45212</v>
      </c>
      <c r="C28" s="3" t="s">
        <v>157</v>
      </c>
      <c r="D28" s="3" t="s">
        <v>452</v>
      </c>
      <c r="E28" s="3" t="str">
        <f>VLOOKUP(ventas[[#This Row],[ID Producto]],productos[#All],3,FALSE)</f>
        <v>Carnes</v>
      </c>
      <c r="F28" s="10" t="s">
        <v>9</v>
      </c>
      <c r="G28" s="3" t="s">
        <v>456</v>
      </c>
      <c r="H28">
        <v>6</v>
      </c>
      <c r="I28">
        <v>4327</v>
      </c>
      <c r="J28">
        <v>25962</v>
      </c>
    </row>
    <row r="29" spans="1:10" x14ac:dyDescent="0.2">
      <c r="A29" s="3" t="s">
        <v>475</v>
      </c>
      <c r="B29" s="5">
        <v>44975</v>
      </c>
      <c r="C29" s="3" t="s">
        <v>271</v>
      </c>
      <c r="D29" s="3" t="s">
        <v>452</v>
      </c>
      <c r="E29" s="3" t="str">
        <f>VLOOKUP(ventas[[#This Row],[ID Producto]],productos[#All],3,FALSE)</f>
        <v>Carnes</v>
      </c>
      <c r="F29" s="9" t="s">
        <v>15</v>
      </c>
      <c r="G29" s="3" t="s">
        <v>463</v>
      </c>
      <c r="H29">
        <v>4</v>
      </c>
      <c r="I29">
        <v>4327</v>
      </c>
      <c r="J29">
        <v>17308</v>
      </c>
    </row>
    <row r="30" spans="1:10" x14ac:dyDescent="0.2">
      <c r="A30" s="3" t="s">
        <v>476</v>
      </c>
      <c r="B30" s="5">
        <v>45206</v>
      </c>
      <c r="C30" s="3" t="s">
        <v>441</v>
      </c>
      <c r="D30" s="3" t="s">
        <v>452</v>
      </c>
      <c r="E30" s="3" t="str">
        <f>VLOOKUP(ventas[[#This Row],[ID Producto]],productos[#All],3,FALSE)</f>
        <v>Carnes</v>
      </c>
      <c r="F30" s="9" t="s">
        <v>9</v>
      </c>
      <c r="G30" s="3" t="s">
        <v>456</v>
      </c>
      <c r="H30">
        <v>4</v>
      </c>
      <c r="I30">
        <v>4327</v>
      </c>
      <c r="J30">
        <v>17308</v>
      </c>
    </row>
    <row r="31" spans="1:10" x14ac:dyDescent="0.2">
      <c r="A31" s="3" t="s">
        <v>477</v>
      </c>
      <c r="B31" s="5">
        <v>44946</v>
      </c>
      <c r="C31" s="3" t="s">
        <v>247</v>
      </c>
      <c r="D31" s="3" t="s">
        <v>452</v>
      </c>
      <c r="E31" s="3" t="str">
        <f>VLOOKUP(ventas[[#This Row],[ID Producto]],productos[#All],3,FALSE)</f>
        <v>Carnes</v>
      </c>
      <c r="F31" s="9" t="s">
        <v>11</v>
      </c>
      <c r="G31" s="3" t="s">
        <v>463</v>
      </c>
      <c r="H31">
        <v>3</v>
      </c>
      <c r="I31">
        <v>4327</v>
      </c>
      <c r="J31">
        <v>12981</v>
      </c>
    </row>
    <row r="32" spans="1:10" x14ac:dyDescent="0.2">
      <c r="A32" s="3" t="s">
        <v>478</v>
      </c>
      <c r="B32" s="5">
        <v>45245</v>
      </c>
      <c r="C32" s="3" t="s">
        <v>157</v>
      </c>
      <c r="D32" s="3" t="s">
        <v>452</v>
      </c>
      <c r="E32" s="3" t="str">
        <f>VLOOKUP(ventas[[#This Row],[ID Producto]],productos[#All],3,FALSE)</f>
        <v>Carnes</v>
      </c>
      <c r="F32" s="10" t="s">
        <v>9</v>
      </c>
      <c r="G32" s="3" t="s">
        <v>453</v>
      </c>
      <c r="H32">
        <v>9</v>
      </c>
      <c r="I32">
        <v>4327</v>
      </c>
      <c r="J32">
        <v>38943</v>
      </c>
    </row>
    <row r="33" spans="1:10" x14ac:dyDescent="0.2">
      <c r="A33" s="3" t="s">
        <v>479</v>
      </c>
      <c r="B33" s="5">
        <v>45272</v>
      </c>
      <c r="C33" s="3" t="s">
        <v>185</v>
      </c>
      <c r="D33" s="3" t="s">
        <v>452</v>
      </c>
      <c r="E33" s="3" t="str">
        <f>VLOOKUP(ventas[[#This Row],[ID Producto]],productos[#All],3,FALSE)</f>
        <v>Carnes</v>
      </c>
      <c r="F33" s="10" t="s">
        <v>9</v>
      </c>
      <c r="G33" s="3" t="s">
        <v>456</v>
      </c>
      <c r="H33">
        <v>5</v>
      </c>
      <c r="I33">
        <v>4327</v>
      </c>
      <c r="J33">
        <v>21635</v>
      </c>
    </row>
    <row r="34" spans="1:10" x14ac:dyDescent="0.2">
      <c r="A34" s="3" t="s">
        <v>480</v>
      </c>
      <c r="B34" s="5">
        <v>45053</v>
      </c>
      <c r="C34" s="3" t="s">
        <v>209</v>
      </c>
      <c r="D34" s="3" t="s">
        <v>452</v>
      </c>
      <c r="E34" s="3" t="str">
        <f>VLOOKUP(ventas[[#This Row],[ID Producto]],productos[#All],3,FALSE)</f>
        <v>Carnes</v>
      </c>
      <c r="F34" s="9" t="s">
        <v>15</v>
      </c>
      <c r="G34" s="3" t="s">
        <v>463</v>
      </c>
      <c r="H34">
        <v>7</v>
      </c>
      <c r="I34">
        <v>4327</v>
      </c>
      <c r="J34">
        <v>30289</v>
      </c>
    </row>
    <row r="35" spans="1:10" x14ac:dyDescent="0.2">
      <c r="A35" s="3" t="s">
        <v>481</v>
      </c>
      <c r="B35" s="5">
        <v>45275</v>
      </c>
      <c r="C35" s="3" t="s">
        <v>391</v>
      </c>
      <c r="D35" s="3" t="s">
        <v>452</v>
      </c>
      <c r="E35" s="3" t="str">
        <f>VLOOKUP(ventas[[#This Row],[ID Producto]],productos[#All],3,FALSE)</f>
        <v>Carnes</v>
      </c>
      <c r="F35" s="9" t="s">
        <v>9</v>
      </c>
      <c r="G35" s="3" t="s">
        <v>453</v>
      </c>
      <c r="H35">
        <v>5</v>
      </c>
      <c r="I35">
        <v>4327</v>
      </c>
      <c r="J35">
        <v>21635</v>
      </c>
    </row>
    <row r="36" spans="1:10" x14ac:dyDescent="0.2">
      <c r="A36" s="3" t="s">
        <v>482</v>
      </c>
      <c r="B36" s="5">
        <v>45251</v>
      </c>
      <c r="C36" s="3" t="s">
        <v>111</v>
      </c>
      <c r="D36" s="3" t="s">
        <v>452</v>
      </c>
      <c r="E36" s="3" t="str">
        <f>VLOOKUP(ventas[[#This Row],[ID Producto]],productos[#All],3,FALSE)</f>
        <v>Carnes</v>
      </c>
      <c r="F36" s="9" t="s">
        <v>11</v>
      </c>
      <c r="G36" s="3" t="s">
        <v>456</v>
      </c>
      <c r="H36">
        <v>6</v>
      </c>
      <c r="I36">
        <v>4327</v>
      </c>
      <c r="J36">
        <v>25962</v>
      </c>
    </row>
    <row r="37" spans="1:10" x14ac:dyDescent="0.2">
      <c r="A37" s="3" t="s">
        <v>483</v>
      </c>
      <c r="B37" s="5">
        <v>45001</v>
      </c>
      <c r="C37" s="3" t="s">
        <v>287</v>
      </c>
      <c r="D37" s="3" t="s">
        <v>452</v>
      </c>
      <c r="E37" s="3" t="str">
        <f>VLOOKUP(ventas[[#This Row],[ID Producto]],productos[#All],3,FALSE)</f>
        <v>Carnes</v>
      </c>
      <c r="F37" s="10" t="s">
        <v>9</v>
      </c>
      <c r="G37" s="3" t="s">
        <v>456</v>
      </c>
      <c r="H37">
        <v>7</v>
      </c>
      <c r="I37">
        <v>4327</v>
      </c>
      <c r="J37">
        <v>30289</v>
      </c>
    </row>
    <row r="38" spans="1:10" x14ac:dyDescent="0.2">
      <c r="A38" s="3" t="s">
        <v>484</v>
      </c>
      <c r="B38" s="5">
        <v>44988</v>
      </c>
      <c r="C38" s="3" t="s">
        <v>417</v>
      </c>
      <c r="D38" s="3" t="s">
        <v>452</v>
      </c>
      <c r="E38" s="3" t="str">
        <f>VLOOKUP(ventas[[#This Row],[ID Producto]],productos[#All],3,FALSE)</f>
        <v>Carnes</v>
      </c>
      <c r="F38" s="10" t="s">
        <v>9</v>
      </c>
      <c r="G38" s="3" t="s">
        <v>456</v>
      </c>
      <c r="H38">
        <v>3</v>
      </c>
      <c r="I38">
        <v>4327</v>
      </c>
      <c r="J38">
        <v>12981</v>
      </c>
    </row>
    <row r="39" spans="1:10" x14ac:dyDescent="0.2">
      <c r="A39" s="3" t="s">
        <v>485</v>
      </c>
      <c r="B39" s="5">
        <v>45010</v>
      </c>
      <c r="C39" s="3" t="s">
        <v>79</v>
      </c>
      <c r="D39" s="3" t="s">
        <v>452</v>
      </c>
      <c r="E39" s="3" t="str">
        <f>VLOOKUP(ventas[[#This Row],[ID Producto]],productos[#All],3,FALSE)</f>
        <v>Carnes</v>
      </c>
      <c r="F39" s="9" t="s">
        <v>15</v>
      </c>
      <c r="G39" s="3" t="s">
        <v>456</v>
      </c>
      <c r="H39">
        <v>5</v>
      </c>
      <c r="I39">
        <v>4327</v>
      </c>
      <c r="J39">
        <v>21635</v>
      </c>
    </row>
    <row r="40" spans="1:10" x14ac:dyDescent="0.2">
      <c r="A40" s="3" t="s">
        <v>486</v>
      </c>
      <c r="B40" s="5">
        <v>45132</v>
      </c>
      <c r="C40" s="3" t="s">
        <v>53</v>
      </c>
      <c r="D40" s="3" t="s">
        <v>452</v>
      </c>
      <c r="E40" s="3" t="str">
        <f>VLOOKUP(ventas[[#This Row],[ID Producto]],productos[#All],3,FALSE)</f>
        <v>Carnes</v>
      </c>
      <c r="F40" s="9" t="s">
        <v>9</v>
      </c>
      <c r="G40" s="3" t="s">
        <v>456</v>
      </c>
      <c r="H40">
        <v>4</v>
      </c>
      <c r="I40">
        <v>4327</v>
      </c>
      <c r="J40">
        <v>17308</v>
      </c>
    </row>
    <row r="41" spans="1:10" x14ac:dyDescent="0.2">
      <c r="A41" s="3" t="s">
        <v>487</v>
      </c>
      <c r="B41" s="5">
        <v>44955</v>
      </c>
      <c r="C41" s="3" t="s">
        <v>233</v>
      </c>
      <c r="D41" s="3" t="s">
        <v>452</v>
      </c>
      <c r="E41" s="3" t="str">
        <f>VLOOKUP(ventas[[#This Row],[ID Producto]],productos[#All],3,FALSE)</f>
        <v>Carnes</v>
      </c>
      <c r="F41" s="9" t="s">
        <v>11</v>
      </c>
      <c r="G41" s="3" t="s">
        <v>463</v>
      </c>
      <c r="H41">
        <v>5</v>
      </c>
      <c r="I41">
        <v>4327</v>
      </c>
      <c r="J41">
        <v>21635</v>
      </c>
    </row>
    <row r="42" spans="1:10" x14ac:dyDescent="0.2">
      <c r="A42" s="3" t="s">
        <v>488</v>
      </c>
      <c r="B42" s="5">
        <v>45017</v>
      </c>
      <c r="C42" s="3" t="s">
        <v>87</v>
      </c>
      <c r="D42" s="3" t="s">
        <v>452</v>
      </c>
      <c r="E42" s="3" t="str">
        <f>VLOOKUP(ventas[[#This Row],[ID Producto]],productos[#All],3,FALSE)</f>
        <v>Carnes</v>
      </c>
      <c r="F42" s="10" t="s">
        <v>9</v>
      </c>
      <c r="G42" s="3" t="s">
        <v>456</v>
      </c>
      <c r="H42">
        <v>3</v>
      </c>
      <c r="I42">
        <v>4327</v>
      </c>
      <c r="J42">
        <v>12981</v>
      </c>
    </row>
    <row r="43" spans="1:10" x14ac:dyDescent="0.2">
      <c r="A43" s="3" t="s">
        <v>489</v>
      </c>
      <c r="B43" s="5">
        <v>45146</v>
      </c>
      <c r="C43" s="3" t="s">
        <v>53</v>
      </c>
      <c r="D43" s="3" t="s">
        <v>452</v>
      </c>
      <c r="E43" s="3" t="str">
        <f>VLOOKUP(ventas[[#This Row],[ID Producto]],productos[#All],3,FALSE)</f>
        <v>Carnes</v>
      </c>
      <c r="F43" s="10" t="s">
        <v>9</v>
      </c>
      <c r="G43" s="3" t="s">
        <v>453</v>
      </c>
      <c r="H43">
        <v>7</v>
      </c>
      <c r="I43">
        <v>4327</v>
      </c>
      <c r="J43">
        <v>30289</v>
      </c>
    </row>
    <row r="44" spans="1:10" x14ac:dyDescent="0.2">
      <c r="A44" s="3" t="s">
        <v>490</v>
      </c>
      <c r="B44" s="5">
        <v>45242</v>
      </c>
      <c r="C44" s="3" t="s">
        <v>243</v>
      </c>
      <c r="D44" s="3" t="s">
        <v>452</v>
      </c>
      <c r="E44" s="3" t="str">
        <f>VLOOKUP(ventas[[#This Row],[ID Producto]],productos[#All],3,FALSE)</f>
        <v>Carnes</v>
      </c>
      <c r="F44" s="9" t="s">
        <v>15</v>
      </c>
      <c r="G44" s="3" t="s">
        <v>463</v>
      </c>
      <c r="H44">
        <v>5</v>
      </c>
      <c r="I44">
        <v>4327</v>
      </c>
      <c r="J44">
        <v>21635</v>
      </c>
    </row>
    <row r="45" spans="1:10" x14ac:dyDescent="0.2">
      <c r="A45" s="3" t="s">
        <v>491</v>
      </c>
      <c r="B45" s="5">
        <v>45146</v>
      </c>
      <c r="C45" s="3" t="s">
        <v>165</v>
      </c>
      <c r="D45" s="3" t="s">
        <v>452</v>
      </c>
      <c r="E45" s="3" t="str">
        <f>VLOOKUP(ventas[[#This Row],[ID Producto]],productos[#All],3,FALSE)</f>
        <v>Carnes</v>
      </c>
      <c r="F45" s="9" t="s">
        <v>9</v>
      </c>
      <c r="G45" s="3" t="s">
        <v>456</v>
      </c>
      <c r="H45">
        <v>8</v>
      </c>
      <c r="I45">
        <v>4327</v>
      </c>
      <c r="J45">
        <v>34616</v>
      </c>
    </row>
    <row r="46" spans="1:10" x14ac:dyDescent="0.2">
      <c r="A46" s="3" t="s">
        <v>492</v>
      </c>
      <c r="B46" s="5">
        <v>44961</v>
      </c>
      <c r="C46" s="3" t="s">
        <v>73</v>
      </c>
      <c r="D46" s="3" t="s">
        <v>452</v>
      </c>
      <c r="E46" s="3" t="str">
        <f>VLOOKUP(ventas[[#This Row],[ID Producto]],productos[#All],3,FALSE)</f>
        <v>Carnes</v>
      </c>
      <c r="F46" s="9" t="s">
        <v>11</v>
      </c>
      <c r="G46" s="3" t="s">
        <v>463</v>
      </c>
      <c r="H46">
        <v>5</v>
      </c>
      <c r="I46">
        <v>4327</v>
      </c>
      <c r="J46">
        <v>21635</v>
      </c>
    </row>
    <row r="47" spans="1:10" x14ac:dyDescent="0.2">
      <c r="A47" s="3" t="s">
        <v>493</v>
      </c>
      <c r="B47" s="5">
        <v>45177</v>
      </c>
      <c r="C47" s="3" t="s">
        <v>423</v>
      </c>
      <c r="D47" s="3" t="s">
        <v>452</v>
      </c>
      <c r="E47" s="3" t="str">
        <f>VLOOKUP(ventas[[#This Row],[ID Producto]],productos[#All],3,FALSE)</f>
        <v>Carnes</v>
      </c>
      <c r="F47" s="10" t="s">
        <v>9</v>
      </c>
      <c r="G47" s="3" t="s">
        <v>453</v>
      </c>
      <c r="H47">
        <v>9</v>
      </c>
      <c r="I47">
        <v>4327</v>
      </c>
      <c r="J47">
        <v>38943</v>
      </c>
    </row>
    <row r="48" spans="1:10" x14ac:dyDescent="0.2">
      <c r="A48" s="3" t="s">
        <v>494</v>
      </c>
      <c r="B48" s="5">
        <v>45209</v>
      </c>
      <c r="C48" s="3" t="s">
        <v>50</v>
      </c>
      <c r="D48" s="3" t="s">
        <v>452</v>
      </c>
      <c r="E48" s="3" t="str">
        <f>VLOOKUP(ventas[[#This Row],[ID Producto]],productos[#All],3,FALSE)</f>
        <v>Carnes</v>
      </c>
      <c r="F48" s="10" t="s">
        <v>9</v>
      </c>
      <c r="G48" s="3" t="s">
        <v>456</v>
      </c>
      <c r="H48">
        <v>7</v>
      </c>
      <c r="I48">
        <v>4327</v>
      </c>
      <c r="J48">
        <v>30289</v>
      </c>
    </row>
    <row r="49" spans="1:10" x14ac:dyDescent="0.2">
      <c r="A49" s="3" t="s">
        <v>495</v>
      </c>
      <c r="B49" s="5">
        <v>44932</v>
      </c>
      <c r="C49" s="3" t="s">
        <v>139</v>
      </c>
      <c r="D49" s="3" t="s">
        <v>452</v>
      </c>
      <c r="E49" s="3" t="str">
        <f>VLOOKUP(ventas[[#This Row],[ID Producto]],productos[#All],3,FALSE)</f>
        <v>Carnes</v>
      </c>
      <c r="F49" s="9" t="s">
        <v>15</v>
      </c>
      <c r="G49" s="3" t="s">
        <v>456</v>
      </c>
      <c r="H49">
        <v>2</v>
      </c>
      <c r="I49">
        <v>4327</v>
      </c>
      <c r="J49">
        <v>8654</v>
      </c>
    </row>
    <row r="50" spans="1:10" x14ac:dyDescent="0.2">
      <c r="A50" s="3" t="s">
        <v>496</v>
      </c>
      <c r="B50" s="5">
        <v>45273</v>
      </c>
      <c r="C50" s="3" t="s">
        <v>105</v>
      </c>
      <c r="D50" s="3" t="s">
        <v>452</v>
      </c>
      <c r="E50" s="3" t="str">
        <f>VLOOKUP(ventas[[#This Row],[ID Producto]],productos[#All],3,FALSE)</f>
        <v>Carnes</v>
      </c>
      <c r="F50" s="9" t="s">
        <v>9</v>
      </c>
      <c r="G50" s="3" t="s">
        <v>456</v>
      </c>
      <c r="H50">
        <v>2</v>
      </c>
      <c r="I50">
        <v>4327</v>
      </c>
      <c r="J50">
        <v>8654</v>
      </c>
    </row>
    <row r="51" spans="1:10" x14ac:dyDescent="0.2">
      <c r="A51" s="3" t="s">
        <v>497</v>
      </c>
      <c r="B51" s="5">
        <v>45064</v>
      </c>
      <c r="C51" s="3" t="s">
        <v>307</v>
      </c>
      <c r="D51" s="3" t="s">
        <v>452</v>
      </c>
      <c r="E51" s="3" t="str">
        <f>VLOOKUP(ventas[[#This Row],[ID Producto]],productos[#All],3,FALSE)</f>
        <v>Carnes</v>
      </c>
      <c r="F51" s="9" t="s">
        <v>11</v>
      </c>
      <c r="G51" s="3" t="s">
        <v>453</v>
      </c>
      <c r="H51">
        <v>8</v>
      </c>
      <c r="I51">
        <v>4327</v>
      </c>
      <c r="J51">
        <v>34616</v>
      </c>
    </row>
    <row r="52" spans="1:10" x14ac:dyDescent="0.2">
      <c r="A52" s="3" t="s">
        <v>498</v>
      </c>
      <c r="B52" s="5">
        <v>44979</v>
      </c>
      <c r="C52" s="3" t="s">
        <v>415</v>
      </c>
      <c r="D52" s="3" t="s">
        <v>452</v>
      </c>
      <c r="E52" s="3" t="str">
        <f>VLOOKUP(ventas[[#This Row],[ID Producto]],productos[#All],3,FALSE)</f>
        <v>Carnes</v>
      </c>
      <c r="F52" s="10" t="s">
        <v>9</v>
      </c>
      <c r="G52" s="3" t="s">
        <v>453</v>
      </c>
      <c r="H52">
        <v>1</v>
      </c>
      <c r="I52">
        <v>4327</v>
      </c>
      <c r="J52">
        <v>4327</v>
      </c>
    </row>
    <row r="53" spans="1:10" x14ac:dyDescent="0.2">
      <c r="A53" s="3" t="s">
        <v>499</v>
      </c>
      <c r="B53" s="5">
        <v>45121</v>
      </c>
      <c r="C53" s="3" t="s">
        <v>425</v>
      </c>
      <c r="D53" s="3" t="s">
        <v>452</v>
      </c>
      <c r="E53" s="3" t="str">
        <f>VLOOKUP(ventas[[#This Row],[ID Producto]],productos[#All],3,FALSE)</f>
        <v>Carnes</v>
      </c>
      <c r="F53" s="10" t="s">
        <v>9</v>
      </c>
      <c r="G53" s="3" t="s">
        <v>463</v>
      </c>
      <c r="H53">
        <v>3</v>
      </c>
      <c r="I53">
        <v>4327</v>
      </c>
      <c r="J53">
        <v>12981</v>
      </c>
    </row>
    <row r="54" spans="1:10" x14ac:dyDescent="0.2">
      <c r="A54" s="3" t="s">
        <v>500</v>
      </c>
      <c r="B54" s="5">
        <v>44987</v>
      </c>
      <c r="C54" s="3" t="s">
        <v>95</v>
      </c>
      <c r="D54" s="3" t="s">
        <v>452</v>
      </c>
      <c r="E54" s="3" t="str">
        <f>VLOOKUP(ventas[[#This Row],[ID Producto]],productos[#All],3,FALSE)</f>
        <v>Carnes</v>
      </c>
      <c r="F54" s="9" t="s">
        <v>15</v>
      </c>
      <c r="G54" s="3" t="s">
        <v>453</v>
      </c>
      <c r="H54">
        <v>7</v>
      </c>
      <c r="I54">
        <v>4327</v>
      </c>
      <c r="J54">
        <v>30289</v>
      </c>
    </row>
    <row r="55" spans="1:10" x14ac:dyDescent="0.2">
      <c r="A55" s="3" t="s">
        <v>501</v>
      </c>
      <c r="B55" s="5">
        <v>45203</v>
      </c>
      <c r="C55" s="3" t="s">
        <v>77</v>
      </c>
      <c r="D55" s="3" t="s">
        <v>452</v>
      </c>
      <c r="E55" s="3" t="str">
        <f>VLOOKUP(ventas[[#This Row],[ID Producto]],productos[#All],3,FALSE)</f>
        <v>Carnes</v>
      </c>
      <c r="F55" s="9" t="s">
        <v>9</v>
      </c>
      <c r="G55" s="3" t="s">
        <v>456</v>
      </c>
      <c r="H55">
        <v>5</v>
      </c>
      <c r="I55">
        <v>4327</v>
      </c>
      <c r="J55">
        <v>21635</v>
      </c>
    </row>
    <row r="56" spans="1:10" x14ac:dyDescent="0.2">
      <c r="A56" s="3" t="s">
        <v>502</v>
      </c>
      <c r="B56" s="5">
        <v>45165</v>
      </c>
      <c r="C56" s="3" t="s">
        <v>343</v>
      </c>
      <c r="D56" s="3" t="s">
        <v>452</v>
      </c>
      <c r="E56" s="3" t="str">
        <f>VLOOKUP(ventas[[#This Row],[ID Producto]],productos[#All],3,FALSE)</f>
        <v>Carnes</v>
      </c>
      <c r="F56" s="9" t="s">
        <v>11</v>
      </c>
      <c r="G56" s="3" t="s">
        <v>456</v>
      </c>
      <c r="H56">
        <v>3</v>
      </c>
      <c r="I56">
        <v>4327</v>
      </c>
      <c r="J56">
        <v>12981</v>
      </c>
    </row>
    <row r="57" spans="1:10" x14ac:dyDescent="0.2">
      <c r="A57" s="3" t="s">
        <v>503</v>
      </c>
      <c r="B57" s="5">
        <v>45133</v>
      </c>
      <c r="C57" s="3" t="s">
        <v>191</v>
      </c>
      <c r="D57" s="3" t="s">
        <v>452</v>
      </c>
      <c r="E57" s="3" t="str">
        <f>VLOOKUP(ventas[[#This Row],[ID Producto]],productos[#All],3,FALSE)</f>
        <v>Carnes</v>
      </c>
      <c r="F57" s="10" t="s">
        <v>9</v>
      </c>
      <c r="G57" s="3" t="s">
        <v>456</v>
      </c>
      <c r="H57">
        <v>8</v>
      </c>
      <c r="I57">
        <v>4327</v>
      </c>
      <c r="J57">
        <v>34616</v>
      </c>
    </row>
    <row r="58" spans="1:10" x14ac:dyDescent="0.2">
      <c r="A58" s="3" t="s">
        <v>504</v>
      </c>
      <c r="B58" s="5">
        <v>45037</v>
      </c>
      <c r="C58" s="3" t="s">
        <v>385</v>
      </c>
      <c r="D58" s="3" t="s">
        <v>452</v>
      </c>
      <c r="E58" s="3" t="str">
        <f>VLOOKUP(ventas[[#This Row],[ID Producto]],productos[#All],3,FALSE)</f>
        <v>Carnes</v>
      </c>
      <c r="F58" s="10" t="s">
        <v>9</v>
      </c>
      <c r="G58" s="3" t="s">
        <v>463</v>
      </c>
      <c r="H58">
        <v>6</v>
      </c>
      <c r="I58">
        <v>4327</v>
      </c>
      <c r="J58">
        <v>25962</v>
      </c>
    </row>
    <row r="59" spans="1:10" x14ac:dyDescent="0.2">
      <c r="A59" s="3" t="s">
        <v>505</v>
      </c>
      <c r="B59" s="5">
        <v>45220</v>
      </c>
      <c r="C59" s="3" t="s">
        <v>129</v>
      </c>
      <c r="D59" s="3" t="s">
        <v>452</v>
      </c>
      <c r="E59" s="3" t="str">
        <f>VLOOKUP(ventas[[#This Row],[ID Producto]],productos[#All],3,FALSE)</f>
        <v>Carnes</v>
      </c>
      <c r="F59" s="9" t="s">
        <v>15</v>
      </c>
      <c r="G59" s="3" t="s">
        <v>453</v>
      </c>
      <c r="H59">
        <v>4</v>
      </c>
      <c r="I59">
        <v>4327</v>
      </c>
      <c r="J59">
        <v>17308</v>
      </c>
    </row>
    <row r="60" spans="1:10" x14ac:dyDescent="0.2">
      <c r="A60" s="3" t="s">
        <v>506</v>
      </c>
      <c r="B60" s="5">
        <v>45012</v>
      </c>
      <c r="C60" s="3" t="s">
        <v>343</v>
      </c>
      <c r="D60" s="3" t="s">
        <v>452</v>
      </c>
      <c r="E60" s="3" t="str">
        <f>VLOOKUP(ventas[[#This Row],[ID Producto]],productos[#All],3,FALSE)</f>
        <v>Carnes</v>
      </c>
      <c r="F60" s="9" t="s">
        <v>9</v>
      </c>
      <c r="G60" s="3" t="s">
        <v>453</v>
      </c>
      <c r="H60">
        <v>4</v>
      </c>
      <c r="I60">
        <v>4327</v>
      </c>
      <c r="J60">
        <v>17308</v>
      </c>
    </row>
    <row r="61" spans="1:10" x14ac:dyDescent="0.2">
      <c r="A61" s="3" t="s">
        <v>507</v>
      </c>
      <c r="B61" s="5">
        <v>45027</v>
      </c>
      <c r="C61" s="3" t="s">
        <v>285</v>
      </c>
      <c r="D61" s="3" t="s">
        <v>452</v>
      </c>
      <c r="E61" s="3" t="str">
        <f>VLOOKUP(ventas[[#This Row],[ID Producto]],productos[#All],3,FALSE)</f>
        <v>Carnes</v>
      </c>
      <c r="F61" s="9" t="s">
        <v>11</v>
      </c>
      <c r="G61" s="3" t="s">
        <v>453</v>
      </c>
      <c r="H61">
        <v>1</v>
      </c>
      <c r="I61">
        <v>4327</v>
      </c>
      <c r="J61">
        <v>4327</v>
      </c>
    </row>
    <row r="62" spans="1:10" x14ac:dyDescent="0.2">
      <c r="A62" s="3" t="s">
        <v>508</v>
      </c>
      <c r="B62" s="5">
        <v>44996</v>
      </c>
      <c r="C62" s="3" t="s">
        <v>129</v>
      </c>
      <c r="D62" s="3" t="s">
        <v>452</v>
      </c>
      <c r="E62" s="3" t="str">
        <f>VLOOKUP(ventas[[#This Row],[ID Producto]],productos[#All],3,FALSE)</f>
        <v>Carnes</v>
      </c>
      <c r="F62" s="10" t="s">
        <v>9</v>
      </c>
      <c r="G62" s="3" t="s">
        <v>456</v>
      </c>
      <c r="H62">
        <v>5</v>
      </c>
      <c r="I62">
        <v>4327</v>
      </c>
      <c r="J62">
        <v>21635</v>
      </c>
    </row>
    <row r="63" spans="1:10" x14ac:dyDescent="0.2">
      <c r="A63" s="3" t="s">
        <v>509</v>
      </c>
      <c r="B63" s="5">
        <v>44957</v>
      </c>
      <c r="C63" s="3" t="s">
        <v>311</v>
      </c>
      <c r="D63" s="3" t="s">
        <v>452</v>
      </c>
      <c r="E63" s="3" t="str">
        <f>VLOOKUP(ventas[[#This Row],[ID Producto]],productos[#All],3,FALSE)</f>
        <v>Carnes</v>
      </c>
      <c r="F63" s="10" t="s">
        <v>9</v>
      </c>
      <c r="G63" s="3" t="s">
        <v>453</v>
      </c>
      <c r="H63">
        <v>9</v>
      </c>
      <c r="I63">
        <v>4327</v>
      </c>
      <c r="J63">
        <v>38943</v>
      </c>
    </row>
    <row r="64" spans="1:10" x14ac:dyDescent="0.2">
      <c r="A64" s="3" t="s">
        <v>510</v>
      </c>
      <c r="B64" s="5">
        <v>45275</v>
      </c>
      <c r="C64" s="3" t="s">
        <v>369</v>
      </c>
      <c r="D64" s="3" t="s">
        <v>511</v>
      </c>
      <c r="E64" s="3" t="str">
        <f>VLOOKUP(ventas[[#This Row],[ID Producto]],productos[#All],3,FALSE)</f>
        <v>Carnes</v>
      </c>
      <c r="F64" s="9" t="s">
        <v>15</v>
      </c>
      <c r="G64" s="3" t="s">
        <v>453</v>
      </c>
      <c r="H64">
        <v>5</v>
      </c>
      <c r="I64">
        <v>1108</v>
      </c>
      <c r="J64">
        <v>554</v>
      </c>
    </row>
    <row r="65" spans="1:10" x14ac:dyDescent="0.2">
      <c r="A65" s="3" t="s">
        <v>512</v>
      </c>
      <c r="B65" s="5">
        <v>45057</v>
      </c>
      <c r="C65" s="3" t="s">
        <v>173</v>
      </c>
      <c r="D65" s="3" t="s">
        <v>511</v>
      </c>
      <c r="E65" s="3" t="str">
        <f>VLOOKUP(ventas[[#This Row],[ID Producto]],productos[#All],3,FALSE)</f>
        <v>Carnes</v>
      </c>
      <c r="F65" s="9" t="s">
        <v>9</v>
      </c>
      <c r="G65" s="3" t="s">
        <v>453</v>
      </c>
      <c r="H65">
        <v>6</v>
      </c>
      <c r="I65">
        <v>1108</v>
      </c>
      <c r="J65">
        <v>6648</v>
      </c>
    </row>
    <row r="66" spans="1:10" x14ac:dyDescent="0.2">
      <c r="A66" s="3" t="s">
        <v>513</v>
      </c>
      <c r="B66" s="5">
        <v>45162</v>
      </c>
      <c r="C66" s="3" t="s">
        <v>185</v>
      </c>
      <c r="D66" s="3" t="s">
        <v>511</v>
      </c>
      <c r="E66" s="3" t="str">
        <f>VLOOKUP(ventas[[#This Row],[ID Producto]],productos[#All],3,FALSE)</f>
        <v>Carnes</v>
      </c>
      <c r="F66" s="9" t="s">
        <v>11</v>
      </c>
      <c r="G66" s="3" t="s">
        <v>456</v>
      </c>
      <c r="H66">
        <v>5</v>
      </c>
      <c r="I66">
        <v>1108</v>
      </c>
      <c r="J66">
        <v>554</v>
      </c>
    </row>
    <row r="67" spans="1:10" x14ac:dyDescent="0.2">
      <c r="A67" s="3" t="s">
        <v>514</v>
      </c>
      <c r="B67" s="5">
        <v>45271</v>
      </c>
      <c r="C67" s="3" t="s">
        <v>171</v>
      </c>
      <c r="D67" s="3" t="s">
        <v>511</v>
      </c>
      <c r="E67" s="3" t="str">
        <f>VLOOKUP(ventas[[#This Row],[ID Producto]],productos[#All],3,FALSE)</f>
        <v>Carnes</v>
      </c>
      <c r="F67" s="10" t="s">
        <v>9</v>
      </c>
      <c r="G67" s="3" t="s">
        <v>456</v>
      </c>
      <c r="H67">
        <v>9</v>
      </c>
      <c r="I67">
        <v>1108</v>
      </c>
      <c r="J67">
        <v>9972</v>
      </c>
    </row>
    <row r="68" spans="1:10" x14ac:dyDescent="0.2">
      <c r="A68" s="3" t="s">
        <v>515</v>
      </c>
      <c r="B68" s="5">
        <v>45254</v>
      </c>
      <c r="C68" s="3" t="s">
        <v>293</v>
      </c>
      <c r="D68" s="3" t="s">
        <v>511</v>
      </c>
      <c r="E68" s="3" t="str">
        <f>VLOOKUP(ventas[[#This Row],[ID Producto]],productos[#All],3,FALSE)</f>
        <v>Carnes</v>
      </c>
      <c r="F68" s="10" t="s">
        <v>9</v>
      </c>
      <c r="G68" s="3" t="s">
        <v>463</v>
      </c>
      <c r="H68">
        <v>5</v>
      </c>
      <c r="I68">
        <v>1108</v>
      </c>
      <c r="J68">
        <v>554</v>
      </c>
    </row>
    <row r="69" spans="1:10" x14ac:dyDescent="0.2">
      <c r="A69" s="3" t="s">
        <v>516</v>
      </c>
      <c r="B69" s="5">
        <v>44992</v>
      </c>
      <c r="C69" s="3" t="s">
        <v>269</v>
      </c>
      <c r="D69" s="3" t="s">
        <v>511</v>
      </c>
      <c r="E69" s="3" t="str">
        <f>VLOOKUP(ventas[[#This Row],[ID Producto]],productos[#All],3,FALSE)</f>
        <v>Carnes</v>
      </c>
      <c r="F69" s="9" t="s">
        <v>15</v>
      </c>
      <c r="G69" s="3" t="s">
        <v>463</v>
      </c>
      <c r="H69">
        <v>9</v>
      </c>
      <c r="I69">
        <v>1108</v>
      </c>
      <c r="J69">
        <v>9972</v>
      </c>
    </row>
    <row r="70" spans="1:10" x14ac:dyDescent="0.2">
      <c r="A70" s="3" t="s">
        <v>517</v>
      </c>
      <c r="B70" s="5">
        <v>45063</v>
      </c>
      <c r="C70" s="3" t="s">
        <v>249</v>
      </c>
      <c r="D70" s="3" t="s">
        <v>511</v>
      </c>
      <c r="E70" s="3" t="str">
        <f>VLOOKUP(ventas[[#This Row],[ID Producto]],productos[#All],3,FALSE)</f>
        <v>Carnes</v>
      </c>
      <c r="F70" s="9" t="s">
        <v>9</v>
      </c>
      <c r="G70" s="3" t="s">
        <v>453</v>
      </c>
      <c r="H70">
        <v>7</v>
      </c>
      <c r="I70">
        <v>1108</v>
      </c>
      <c r="J70">
        <v>7756</v>
      </c>
    </row>
    <row r="71" spans="1:10" x14ac:dyDescent="0.2">
      <c r="A71" s="3" t="s">
        <v>518</v>
      </c>
      <c r="B71" s="5">
        <v>45098</v>
      </c>
      <c r="C71" s="3" t="s">
        <v>161</v>
      </c>
      <c r="D71" s="3" t="s">
        <v>511</v>
      </c>
      <c r="E71" s="3" t="str">
        <f>VLOOKUP(ventas[[#This Row],[ID Producto]],productos[#All],3,FALSE)</f>
        <v>Carnes</v>
      </c>
      <c r="F71" s="9" t="s">
        <v>11</v>
      </c>
      <c r="G71" s="3" t="s">
        <v>456</v>
      </c>
      <c r="H71">
        <v>9</v>
      </c>
      <c r="I71">
        <v>1108</v>
      </c>
      <c r="J71">
        <v>9972</v>
      </c>
    </row>
    <row r="72" spans="1:10" x14ac:dyDescent="0.2">
      <c r="A72" s="3" t="s">
        <v>519</v>
      </c>
      <c r="B72" s="5">
        <v>45194</v>
      </c>
      <c r="C72" s="3" t="s">
        <v>153</v>
      </c>
      <c r="D72" s="3" t="s">
        <v>511</v>
      </c>
      <c r="E72" s="3" t="str">
        <f>VLOOKUP(ventas[[#This Row],[ID Producto]],productos[#All],3,FALSE)</f>
        <v>Carnes</v>
      </c>
      <c r="F72" s="10" t="s">
        <v>9</v>
      </c>
      <c r="G72" s="3" t="s">
        <v>453</v>
      </c>
      <c r="H72">
        <v>1</v>
      </c>
      <c r="I72">
        <v>1108</v>
      </c>
      <c r="J72">
        <v>1108</v>
      </c>
    </row>
    <row r="73" spans="1:10" x14ac:dyDescent="0.2">
      <c r="A73" s="3" t="s">
        <v>520</v>
      </c>
      <c r="B73" s="5">
        <v>45272</v>
      </c>
      <c r="C73" s="3" t="s">
        <v>343</v>
      </c>
      <c r="D73" s="3" t="s">
        <v>511</v>
      </c>
      <c r="E73" s="3" t="str">
        <f>VLOOKUP(ventas[[#This Row],[ID Producto]],productos[#All],3,FALSE)</f>
        <v>Carnes</v>
      </c>
      <c r="F73" s="10" t="s">
        <v>9</v>
      </c>
      <c r="G73" s="3" t="s">
        <v>456</v>
      </c>
      <c r="H73">
        <v>3</v>
      </c>
      <c r="I73">
        <v>1108</v>
      </c>
      <c r="J73">
        <v>3324</v>
      </c>
    </row>
    <row r="74" spans="1:10" x14ac:dyDescent="0.2">
      <c r="A74" s="3" t="s">
        <v>521</v>
      </c>
      <c r="B74" s="5">
        <v>45125</v>
      </c>
      <c r="C74" s="3" t="s">
        <v>425</v>
      </c>
      <c r="D74" s="3" t="s">
        <v>511</v>
      </c>
      <c r="E74" s="3" t="str">
        <f>VLOOKUP(ventas[[#This Row],[ID Producto]],productos[#All],3,FALSE)</f>
        <v>Carnes</v>
      </c>
      <c r="F74" s="9" t="s">
        <v>15</v>
      </c>
      <c r="G74" s="3" t="s">
        <v>453</v>
      </c>
      <c r="H74">
        <v>3</v>
      </c>
      <c r="I74">
        <v>1108</v>
      </c>
      <c r="J74">
        <v>3324</v>
      </c>
    </row>
    <row r="75" spans="1:10" x14ac:dyDescent="0.2">
      <c r="A75" s="3" t="s">
        <v>522</v>
      </c>
      <c r="B75" s="5">
        <v>45134</v>
      </c>
      <c r="C75" s="3" t="s">
        <v>177</v>
      </c>
      <c r="D75" s="3" t="s">
        <v>511</v>
      </c>
      <c r="E75" s="3" t="str">
        <f>VLOOKUP(ventas[[#This Row],[ID Producto]],productos[#All],3,FALSE)</f>
        <v>Carnes</v>
      </c>
      <c r="F75" s="9" t="s">
        <v>9</v>
      </c>
      <c r="G75" s="3" t="s">
        <v>453</v>
      </c>
      <c r="H75">
        <v>1</v>
      </c>
      <c r="I75">
        <v>1108</v>
      </c>
      <c r="J75">
        <v>1108</v>
      </c>
    </row>
    <row r="76" spans="1:10" x14ac:dyDescent="0.2">
      <c r="A76" s="3" t="s">
        <v>523</v>
      </c>
      <c r="B76" s="5">
        <v>45203</v>
      </c>
      <c r="C76" s="3" t="s">
        <v>155</v>
      </c>
      <c r="D76" s="3" t="s">
        <v>511</v>
      </c>
      <c r="E76" s="3" t="str">
        <f>VLOOKUP(ventas[[#This Row],[ID Producto]],productos[#All],3,FALSE)</f>
        <v>Carnes</v>
      </c>
      <c r="F76" s="9" t="s">
        <v>11</v>
      </c>
      <c r="G76" s="3" t="s">
        <v>453</v>
      </c>
      <c r="H76">
        <v>9</v>
      </c>
      <c r="I76">
        <v>1108</v>
      </c>
      <c r="J76">
        <v>9972</v>
      </c>
    </row>
    <row r="77" spans="1:10" x14ac:dyDescent="0.2">
      <c r="A77" s="3" t="s">
        <v>524</v>
      </c>
      <c r="B77" s="5">
        <v>45025</v>
      </c>
      <c r="C77" s="3" t="s">
        <v>50</v>
      </c>
      <c r="D77" s="3" t="s">
        <v>511</v>
      </c>
      <c r="E77" s="3" t="str">
        <f>VLOOKUP(ventas[[#This Row],[ID Producto]],productos[#All],3,FALSE)</f>
        <v>Carnes</v>
      </c>
      <c r="F77" s="10" t="s">
        <v>9</v>
      </c>
      <c r="G77" s="3" t="s">
        <v>463</v>
      </c>
      <c r="H77">
        <v>5</v>
      </c>
      <c r="I77">
        <v>1108</v>
      </c>
      <c r="J77">
        <v>554</v>
      </c>
    </row>
    <row r="78" spans="1:10" x14ac:dyDescent="0.2">
      <c r="A78" s="3" t="s">
        <v>525</v>
      </c>
      <c r="B78" s="5">
        <v>44977</v>
      </c>
      <c r="C78" s="3" t="s">
        <v>259</v>
      </c>
      <c r="D78" s="3" t="s">
        <v>511</v>
      </c>
      <c r="E78" s="3" t="str">
        <f>VLOOKUP(ventas[[#This Row],[ID Producto]],productos[#All],3,FALSE)</f>
        <v>Carnes</v>
      </c>
      <c r="F78" s="10" t="s">
        <v>9</v>
      </c>
      <c r="G78" s="3" t="s">
        <v>453</v>
      </c>
      <c r="H78">
        <v>1</v>
      </c>
      <c r="I78">
        <v>1108</v>
      </c>
      <c r="J78">
        <v>1108</v>
      </c>
    </row>
    <row r="79" spans="1:10" x14ac:dyDescent="0.2">
      <c r="A79" s="3" t="s">
        <v>526</v>
      </c>
      <c r="B79" s="5">
        <v>45149</v>
      </c>
      <c r="C79" s="3" t="s">
        <v>165</v>
      </c>
      <c r="D79" s="3" t="s">
        <v>511</v>
      </c>
      <c r="E79" s="3" t="str">
        <f>VLOOKUP(ventas[[#This Row],[ID Producto]],productos[#All],3,FALSE)</f>
        <v>Carnes</v>
      </c>
      <c r="F79" s="9" t="s">
        <v>15</v>
      </c>
      <c r="G79" s="3" t="s">
        <v>456</v>
      </c>
      <c r="H79">
        <v>5</v>
      </c>
      <c r="I79">
        <v>1108</v>
      </c>
      <c r="J79">
        <v>554</v>
      </c>
    </row>
    <row r="80" spans="1:10" x14ac:dyDescent="0.2">
      <c r="A80" s="3" t="s">
        <v>527</v>
      </c>
      <c r="B80" s="5">
        <v>45176</v>
      </c>
      <c r="C80" s="3" t="s">
        <v>355</v>
      </c>
      <c r="D80" s="3" t="s">
        <v>511</v>
      </c>
      <c r="E80" s="3" t="str">
        <f>VLOOKUP(ventas[[#This Row],[ID Producto]],productos[#All],3,FALSE)</f>
        <v>Carnes</v>
      </c>
      <c r="F80" s="9" t="s">
        <v>9</v>
      </c>
      <c r="G80" s="3" t="s">
        <v>456</v>
      </c>
      <c r="H80">
        <v>2</v>
      </c>
      <c r="I80">
        <v>1108</v>
      </c>
      <c r="J80">
        <v>2216</v>
      </c>
    </row>
    <row r="81" spans="1:10" x14ac:dyDescent="0.2">
      <c r="A81" s="3" t="s">
        <v>528</v>
      </c>
      <c r="B81" s="5">
        <v>45022</v>
      </c>
      <c r="C81" s="3" t="s">
        <v>99</v>
      </c>
      <c r="D81" s="3" t="s">
        <v>511</v>
      </c>
      <c r="E81" s="3" t="str">
        <f>VLOOKUP(ventas[[#This Row],[ID Producto]],productos[#All],3,FALSE)</f>
        <v>Carnes</v>
      </c>
      <c r="F81" s="9" t="s">
        <v>11</v>
      </c>
      <c r="G81" s="3" t="s">
        <v>453</v>
      </c>
      <c r="H81">
        <v>6</v>
      </c>
      <c r="I81">
        <v>1108</v>
      </c>
      <c r="J81">
        <v>6648</v>
      </c>
    </row>
    <row r="82" spans="1:10" x14ac:dyDescent="0.2">
      <c r="A82" s="3" t="s">
        <v>529</v>
      </c>
      <c r="B82" s="5">
        <v>45184</v>
      </c>
      <c r="C82" s="3" t="s">
        <v>99</v>
      </c>
      <c r="D82" s="3" t="s">
        <v>511</v>
      </c>
      <c r="E82" s="3" t="str">
        <f>VLOOKUP(ventas[[#This Row],[ID Producto]],productos[#All],3,FALSE)</f>
        <v>Carnes</v>
      </c>
      <c r="F82" s="10" t="s">
        <v>9</v>
      </c>
      <c r="G82" s="3" t="s">
        <v>456</v>
      </c>
      <c r="H82">
        <v>4</v>
      </c>
      <c r="I82">
        <v>1108</v>
      </c>
      <c r="J82">
        <v>4432</v>
      </c>
    </row>
    <row r="83" spans="1:10" x14ac:dyDescent="0.2">
      <c r="A83" s="3" t="s">
        <v>530</v>
      </c>
      <c r="B83" s="5">
        <v>45089</v>
      </c>
      <c r="C83" s="3" t="s">
        <v>281</v>
      </c>
      <c r="D83" s="3" t="s">
        <v>511</v>
      </c>
      <c r="E83" s="3" t="str">
        <f>VLOOKUP(ventas[[#This Row],[ID Producto]],productos[#All],3,FALSE)</f>
        <v>Carnes</v>
      </c>
      <c r="F83" s="10" t="s">
        <v>9</v>
      </c>
      <c r="G83" s="3" t="s">
        <v>463</v>
      </c>
      <c r="H83">
        <v>6</v>
      </c>
      <c r="I83">
        <v>1108</v>
      </c>
      <c r="J83">
        <v>6648</v>
      </c>
    </row>
    <row r="84" spans="1:10" x14ac:dyDescent="0.2">
      <c r="A84" s="3" t="s">
        <v>531</v>
      </c>
      <c r="B84" s="5">
        <v>44983</v>
      </c>
      <c r="C84" s="3" t="s">
        <v>433</v>
      </c>
      <c r="D84" s="3" t="s">
        <v>511</v>
      </c>
      <c r="E84" s="3" t="str">
        <f>VLOOKUP(ventas[[#This Row],[ID Producto]],productos[#All],3,FALSE)</f>
        <v>Carnes</v>
      </c>
      <c r="F84" s="9" t="s">
        <v>15</v>
      </c>
      <c r="G84" s="3" t="s">
        <v>453</v>
      </c>
      <c r="H84">
        <v>6</v>
      </c>
      <c r="I84">
        <v>1108</v>
      </c>
      <c r="J84">
        <v>6648</v>
      </c>
    </row>
    <row r="85" spans="1:10" x14ac:dyDescent="0.2">
      <c r="A85" s="3" t="s">
        <v>532</v>
      </c>
      <c r="B85" s="5">
        <v>45147</v>
      </c>
      <c r="C85" s="3" t="s">
        <v>169</v>
      </c>
      <c r="D85" s="3" t="s">
        <v>511</v>
      </c>
      <c r="E85" s="3" t="str">
        <f>VLOOKUP(ventas[[#This Row],[ID Producto]],productos[#All],3,FALSE)</f>
        <v>Carnes</v>
      </c>
      <c r="F85" s="9" t="s">
        <v>9</v>
      </c>
      <c r="G85" s="3" t="s">
        <v>463</v>
      </c>
      <c r="H85">
        <v>4</v>
      </c>
      <c r="I85">
        <v>1108</v>
      </c>
      <c r="J85">
        <v>4432</v>
      </c>
    </row>
    <row r="86" spans="1:10" x14ac:dyDescent="0.2">
      <c r="A86" s="3" t="s">
        <v>533</v>
      </c>
      <c r="B86" s="5">
        <v>45100</v>
      </c>
      <c r="C86" s="3" t="s">
        <v>201</v>
      </c>
      <c r="D86" s="3" t="s">
        <v>511</v>
      </c>
      <c r="E86" s="3" t="str">
        <f>VLOOKUP(ventas[[#This Row],[ID Producto]],productos[#All],3,FALSE)</f>
        <v>Carnes</v>
      </c>
      <c r="F86" s="9" t="s">
        <v>11</v>
      </c>
      <c r="G86" s="3" t="s">
        <v>456</v>
      </c>
      <c r="H86">
        <v>9</v>
      </c>
      <c r="I86">
        <v>1108</v>
      </c>
      <c r="J86">
        <v>9972</v>
      </c>
    </row>
    <row r="87" spans="1:10" x14ac:dyDescent="0.2">
      <c r="A87" s="3" t="s">
        <v>534</v>
      </c>
      <c r="B87" s="5">
        <v>45094</v>
      </c>
      <c r="C87" s="3" t="s">
        <v>445</v>
      </c>
      <c r="D87" s="3" t="s">
        <v>511</v>
      </c>
      <c r="E87" s="3" t="str">
        <f>VLOOKUP(ventas[[#This Row],[ID Producto]],productos[#All],3,FALSE)</f>
        <v>Carnes</v>
      </c>
      <c r="F87" s="10" t="s">
        <v>9</v>
      </c>
      <c r="G87" s="3" t="s">
        <v>456</v>
      </c>
      <c r="H87">
        <v>1</v>
      </c>
      <c r="I87">
        <v>1108</v>
      </c>
      <c r="J87">
        <v>1108</v>
      </c>
    </row>
    <row r="88" spans="1:10" x14ac:dyDescent="0.2">
      <c r="A88" s="3" t="s">
        <v>535</v>
      </c>
      <c r="B88" s="5">
        <v>45096</v>
      </c>
      <c r="C88" s="3" t="s">
        <v>151</v>
      </c>
      <c r="D88" s="3" t="s">
        <v>511</v>
      </c>
      <c r="E88" s="3" t="str">
        <f>VLOOKUP(ventas[[#This Row],[ID Producto]],productos[#All],3,FALSE)</f>
        <v>Carnes</v>
      </c>
      <c r="F88" s="10" t="s">
        <v>9</v>
      </c>
      <c r="G88" s="3" t="s">
        <v>456</v>
      </c>
      <c r="H88">
        <v>7</v>
      </c>
      <c r="I88">
        <v>1108</v>
      </c>
      <c r="J88">
        <v>7756</v>
      </c>
    </row>
    <row r="89" spans="1:10" x14ac:dyDescent="0.2">
      <c r="A89" s="3" t="s">
        <v>536</v>
      </c>
      <c r="B89" s="5">
        <v>45060</v>
      </c>
      <c r="C89" s="3" t="s">
        <v>257</v>
      </c>
      <c r="D89" s="3" t="s">
        <v>511</v>
      </c>
      <c r="E89" s="3" t="str">
        <f>VLOOKUP(ventas[[#This Row],[ID Producto]],productos[#All],3,FALSE)</f>
        <v>Carnes</v>
      </c>
      <c r="F89" s="9" t="s">
        <v>15</v>
      </c>
      <c r="G89" s="3" t="s">
        <v>453</v>
      </c>
      <c r="H89">
        <v>6</v>
      </c>
      <c r="I89">
        <v>1108</v>
      </c>
      <c r="J89">
        <v>6648</v>
      </c>
    </row>
    <row r="90" spans="1:10" x14ac:dyDescent="0.2">
      <c r="A90" s="3" t="s">
        <v>537</v>
      </c>
      <c r="B90" s="5">
        <v>45070</v>
      </c>
      <c r="C90" s="3" t="s">
        <v>399</v>
      </c>
      <c r="D90" s="3" t="s">
        <v>511</v>
      </c>
      <c r="E90" s="3" t="str">
        <f>VLOOKUP(ventas[[#This Row],[ID Producto]],productos[#All],3,FALSE)</f>
        <v>Carnes</v>
      </c>
      <c r="F90" s="9" t="s">
        <v>9</v>
      </c>
      <c r="G90" s="3" t="s">
        <v>453</v>
      </c>
      <c r="H90">
        <v>5</v>
      </c>
      <c r="I90">
        <v>1108</v>
      </c>
      <c r="J90">
        <v>554</v>
      </c>
    </row>
    <row r="91" spans="1:10" x14ac:dyDescent="0.2">
      <c r="A91" s="3" t="s">
        <v>538</v>
      </c>
      <c r="B91" s="5">
        <v>44934</v>
      </c>
      <c r="C91" s="3" t="s">
        <v>171</v>
      </c>
      <c r="D91" s="3" t="s">
        <v>511</v>
      </c>
      <c r="E91" s="3" t="str">
        <f>VLOOKUP(ventas[[#This Row],[ID Producto]],productos[#All],3,FALSE)</f>
        <v>Carnes</v>
      </c>
      <c r="F91" s="9" t="s">
        <v>11</v>
      </c>
      <c r="G91" s="3" t="s">
        <v>456</v>
      </c>
      <c r="H91">
        <v>8</v>
      </c>
      <c r="I91">
        <v>1108</v>
      </c>
      <c r="J91">
        <v>8864</v>
      </c>
    </row>
    <row r="92" spans="1:10" x14ac:dyDescent="0.2">
      <c r="A92" s="3" t="s">
        <v>539</v>
      </c>
      <c r="B92" s="5">
        <v>45103</v>
      </c>
      <c r="C92" s="3" t="s">
        <v>367</v>
      </c>
      <c r="D92" s="3" t="s">
        <v>511</v>
      </c>
      <c r="E92" s="3" t="str">
        <f>VLOOKUP(ventas[[#This Row],[ID Producto]],productos[#All],3,FALSE)</f>
        <v>Carnes</v>
      </c>
      <c r="F92" s="10" t="s">
        <v>9</v>
      </c>
      <c r="G92" s="3" t="s">
        <v>463</v>
      </c>
      <c r="H92">
        <v>7</v>
      </c>
      <c r="I92">
        <v>1108</v>
      </c>
      <c r="J92">
        <v>7756</v>
      </c>
    </row>
    <row r="93" spans="1:10" x14ac:dyDescent="0.2">
      <c r="A93" s="3" t="s">
        <v>540</v>
      </c>
      <c r="B93" s="5">
        <v>45267</v>
      </c>
      <c r="C93" s="3" t="s">
        <v>409</v>
      </c>
      <c r="D93" s="3" t="s">
        <v>511</v>
      </c>
      <c r="E93" s="3" t="str">
        <f>VLOOKUP(ventas[[#This Row],[ID Producto]],productos[#All],3,FALSE)</f>
        <v>Carnes</v>
      </c>
      <c r="F93" s="10" t="s">
        <v>9</v>
      </c>
      <c r="G93" s="3" t="s">
        <v>456</v>
      </c>
      <c r="H93">
        <v>9</v>
      </c>
      <c r="I93">
        <v>1108</v>
      </c>
      <c r="J93">
        <v>9972</v>
      </c>
    </row>
    <row r="94" spans="1:10" x14ac:dyDescent="0.2">
      <c r="A94" s="3" t="s">
        <v>541</v>
      </c>
      <c r="B94" s="5">
        <v>45131</v>
      </c>
      <c r="C94" s="3" t="s">
        <v>167</v>
      </c>
      <c r="D94" s="3" t="s">
        <v>511</v>
      </c>
      <c r="E94" s="3" t="str">
        <f>VLOOKUP(ventas[[#This Row],[ID Producto]],productos[#All],3,FALSE)</f>
        <v>Carnes</v>
      </c>
      <c r="F94" s="9" t="s">
        <v>15</v>
      </c>
      <c r="G94" s="3" t="s">
        <v>456</v>
      </c>
      <c r="H94">
        <v>2</v>
      </c>
      <c r="I94">
        <v>1108</v>
      </c>
      <c r="J94">
        <v>2216</v>
      </c>
    </row>
    <row r="95" spans="1:10" x14ac:dyDescent="0.2">
      <c r="A95" s="3" t="s">
        <v>542</v>
      </c>
      <c r="B95" s="5">
        <v>45186</v>
      </c>
      <c r="C95" s="3" t="s">
        <v>205</v>
      </c>
      <c r="D95" s="3" t="s">
        <v>511</v>
      </c>
      <c r="E95" s="3" t="str">
        <f>VLOOKUP(ventas[[#This Row],[ID Producto]],productos[#All],3,FALSE)</f>
        <v>Carnes</v>
      </c>
      <c r="F95" s="9" t="s">
        <v>9</v>
      </c>
      <c r="G95" s="3" t="s">
        <v>463</v>
      </c>
      <c r="H95">
        <v>4</v>
      </c>
      <c r="I95">
        <v>1108</v>
      </c>
      <c r="J95">
        <v>4432</v>
      </c>
    </row>
    <row r="96" spans="1:10" x14ac:dyDescent="0.2">
      <c r="A96" s="3" t="s">
        <v>543</v>
      </c>
      <c r="B96" s="5">
        <v>45274</v>
      </c>
      <c r="C96" s="3" t="s">
        <v>439</v>
      </c>
      <c r="D96" s="3" t="s">
        <v>511</v>
      </c>
      <c r="E96" s="3" t="str">
        <f>VLOOKUP(ventas[[#This Row],[ID Producto]],productos[#All],3,FALSE)</f>
        <v>Carnes</v>
      </c>
      <c r="F96" s="9" t="s">
        <v>11</v>
      </c>
      <c r="G96" s="3" t="s">
        <v>456</v>
      </c>
      <c r="H96">
        <v>8</v>
      </c>
      <c r="I96">
        <v>1108</v>
      </c>
      <c r="J96">
        <v>8864</v>
      </c>
    </row>
    <row r="97" spans="1:10" x14ac:dyDescent="0.2">
      <c r="A97" s="3" t="s">
        <v>544</v>
      </c>
      <c r="B97" s="5">
        <v>45176</v>
      </c>
      <c r="C97" s="3" t="s">
        <v>81</v>
      </c>
      <c r="D97" s="3" t="s">
        <v>511</v>
      </c>
      <c r="E97" s="3" t="str">
        <f>VLOOKUP(ventas[[#This Row],[ID Producto]],productos[#All],3,FALSE)</f>
        <v>Carnes</v>
      </c>
      <c r="F97" s="10" t="s">
        <v>9</v>
      </c>
      <c r="G97" s="3" t="s">
        <v>463</v>
      </c>
      <c r="H97">
        <v>1</v>
      </c>
      <c r="I97">
        <v>1108</v>
      </c>
      <c r="J97">
        <v>1108</v>
      </c>
    </row>
    <row r="98" spans="1:10" x14ac:dyDescent="0.2">
      <c r="A98" s="3" t="s">
        <v>545</v>
      </c>
      <c r="B98" s="5">
        <v>45059</v>
      </c>
      <c r="C98" s="3" t="s">
        <v>279</v>
      </c>
      <c r="D98" s="3" t="s">
        <v>511</v>
      </c>
      <c r="E98" s="3" t="str">
        <f>VLOOKUP(ventas[[#This Row],[ID Producto]],productos[#All],3,FALSE)</f>
        <v>Carnes</v>
      </c>
      <c r="F98" s="10" t="s">
        <v>9</v>
      </c>
      <c r="G98" s="3" t="s">
        <v>456</v>
      </c>
      <c r="H98">
        <v>9</v>
      </c>
      <c r="I98">
        <v>1108</v>
      </c>
      <c r="J98">
        <v>9972</v>
      </c>
    </row>
    <row r="99" spans="1:10" x14ac:dyDescent="0.2">
      <c r="A99" s="3" t="s">
        <v>546</v>
      </c>
      <c r="B99" s="5">
        <v>45211</v>
      </c>
      <c r="C99" s="3" t="s">
        <v>111</v>
      </c>
      <c r="D99" s="3" t="s">
        <v>511</v>
      </c>
      <c r="E99" s="3" t="str">
        <f>VLOOKUP(ventas[[#This Row],[ID Producto]],productos[#All],3,FALSE)</f>
        <v>Carnes</v>
      </c>
      <c r="F99" s="9" t="s">
        <v>15</v>
      </c>
      <c r="G99" s="3" t="s">
        <v>453</v>
      </c>
      <c r="H99">
        <v>8</v>
      </c>
      <c r="I99">
        <v>1108</v>
      </c>
      <c r="J99">
        <v>8864</v>
      </c>
    </row>
    <row r="100" spans="1:10" x14ac:dyDescent="0.2">
      <c r="A100" s="3" t="s">
        <v>547</v>
      </c>
      <c r="B100" s="5">
        <v>45199</v>
      </c>
      <c r="C100" s="3" t="s">
        <v>91</v>
      </c>
      <c r="D100" s="3" t="s">
        <v>511</v>
      </c>
      <c r="E100" s="3" t="str">
        <f>VLOOKUP(ventas[[#This Row],[ID Producto]],productos[#All],3,FALSE)</f>
        <v>Carnes</v>
      </c>
      <c r="F100" s="9" t="s">
        <v>9</v>
      </c>
      <c r="G100" s="3" t="s">
        <v>463</v>
      </c>
      <c r="H100">
        <v>7</v>
      </c>
      <c r="I100">
        <v>1108</v>
      </c>
      <c r="J100">
        <v>7756</v>
      </c>
    </row>
    <row r="101" spans="1:10" x14ac:dyDescent="0.2">
      <c r="A101" s="3" t="s">
        <v>548</v>
      </c>
      <c r="B101" s="5">
        <v>45218</v>
      </c>
      <c r="C101" s="3" t="s">
        <v>379</v>
      </c>
      <c r="D101" s="3" t="s">
        <v>511</v>
      </c>
      <c r="E101" s="3" t="str">
        <f>VLOOKUP(ventas[[#This Row],[ID Producto]],productos[#All],3,FALSE)</f>
        <v>Carnes</v>
      </c>
      <c r="F101" s="9" t="s">
        <v>11</v>
      </c>
      <c r="G101" s="3" t="s">
        <v>463</v>
      </c>
      <c r="H101">
        <v>5</v>
      </c>
      <c r="I101">
        <v>1108</v>
      </c>
      <c r="J101">
        <v>554</v>
      </c>
    </row>
    <row r="102" spans="1:10" x14ac:dyDescent="0.2">
      <c r="A102" s="3" t="s">
        <v>549</v>
      </c>
      <c r="B102" s="5">
        <v>45183</v>
      </c>
      <c r="C102" s="3" t="s">
        <v>399</v>
      </c>
      <c r="D102" s="3" t="s">
        <v>511</v>
      </c>
      <c r="E102" s="3" t="str">
        <f>VLOOKUP(ventas[[#This Row],[ID Producto]],productos[#All],3,FALSE)</f>
        <v>Carnes</v>
      </c>
      <c r="F102" s="10" t="s">
        <v>9</v>
      </c>
      <c r="G102" s="3" t="s">
        <v>463</v>
      </c>
      <c r="H102">
        <v>6</v>
      </c>
      <c r="I102">
        <v>1108</v>
      </c>
      <c r="J102">
        <v>6648</v>
      </c>
    </row>
    <row r="103" spans="1:10" x14ac:dyDescent="0.2">
      <c r="A103" s="3" t="s">
        <v>550</v>
      </c>
      <c r="B103" s="5">
        <v>45045</v>
      </c>
      <c r="C103" s="3" t="s">
        <v>139</v>
      </c>
      <c r="D103" s="3" t="s">
        <v>511</v>
      </c>
      <c r="E103" s="3" t="str">
        <f>VLOOKUP(ventas[[#This Row],[ID Producto]],productos[#All],3,FALSE)</f>
        <v>Carnes</v>
      </c>
      <c r="F103" s="10" t="s">
        <v>9</v>
      </c>
      <c r="G103" s="3" t="s">
        <v>453</v>
      </c>
      <c r="H103">
        <v>4</v>
      </c>
      <c r="I103">
        <v>1108</v>
      </c>
      <c r="J103">
        <v>4432</v>
      </c>
    </row>
    <row r="104" spans="1:10" x14ac:dyDescent="0.2">
      <c r="A104" s="3" t="s">
        <v>551</v>
      </c>
      <c r="B104" s="5">
        <v>45226</v>
      </c>
      <c r="C104" s="3" t="s">
        <v>383</v>
      </c>
      <c r="D104" s="3" t="s">
        <v>511</v>
      </c>
      <c r="E104" s="3" t="str">
        <f>VLOOKUP(ventas[[#This Row],[ID Producto]],productos[#All],3,FALSE)</f>
        <v>Carnes</v>
      </c>
      <c r="F104" s="9" t="s">
        <v>15</v>
      </c>
      <c r="G104" s="3" t="s">
        <v>456</v>
      </c>
      <c r="H104">
        <v>1</v>
      </c>
      <c r="I104">
        <v>1108</v>
      </c>
      <c r="J104">
        <v>1108</v>
      </c>
    </row>
    <row r="105" spans="1:10" x14ac:dyDescent="0.2">
      <c r="A105" s="3" t="s">
        <v>552</v>
      </c>
      <c r="B105" s="5">
        <v>45155</v>
      </c>
      <c r="C105" s="3" t="s">
        <v>65</v>
      </c>
      <c r="D105" s="3" t="s">
        <v>511</v>
      </c>
      <c r="E105" s="3" t="str">
        <f>VLOOKUP(ventas[[#This Row],[ID Producto]],productos[#All],3,FALSE)</f>
        <v>Carnes</v>
      </c>
      <c r="F105" s="9" t="s">
        <v>9</v>
      </c>
      <c r="G105" s="3" t="s">
        <v>453</v>
      </c>
      <c r="H105">
        <v>8</v>
      </c>
      <c r="I105">
        <v>1108</v>
      </c>
      <c r="J105">
        <v>8864</v>
      </c>
    </row>
    <row r="106" spans="1:10" x14ac:dyDescent="0.2">
      <c r="A106" s="3" t="s">
        <v>553</v>
      </c>
      <c r="B106" s="5">
        <v>45076</v>
      </c>
      <c r="C106" s="3" t="s">
        <v>193</v>
      </c>
      <c r="D106" s="3" t="s">
        <v>511</v>
      </c>
      <c r="E106" s="3" t="str">
        <f>VLOOKUP(ventas[[#This Row],[ID Producto]],productos[#All],3,FALSE)</f>
        <v>Carnes</v>
      </c>
      <c r="F106" s="9" t="s">
        <v>11</v>
      </c>
      <c r="G106" s="3" t="s">
        <v>463</v>
      </c>
      <c r="H106">
        <v>4</v>
      </c>
      <c r="I106">
        <v>1108</v>
      </c>
      <c r="J106">
        <v>4432</v>
      </c>
    </row>
    <row r="107" spans="1:10" x14ac:dyDescent="0.2">
      <c r="A107" s="3" t="s">
        <v>554</v>
      </c>
      <c r="B107" s="5">
        <v>45250</v>
      </c>
      <c r="C107" s="3" t="s">
        <v>285</v>
      </c>
      <c r="D107" s="3" t="s">
        <v>511</v>
      </c>
      <c r="E107" s="3" t="str">
        <f>VLOOKUP(ventas[[#This Row],[ID Producto]],productos[#All],3,FALSE)</f>
        <v>Carnes</v>
      </c>
      <c r="F107" s="10" t="s">
        <v>9</v>
      </c>
      <c r="G107" s="3" t="s">
        <v>463</v>
      </c>
      <c r="H107">
        <v>1</v>
      </c>
      <c r="I107">
        <v>1108</v>
      </c>
      <c r="J107">
        <v>1108</v>
      </c>
    </row>
    <row r="108" spans="1:10" x14ac:dyDescent="0.2">
      <c r="A108" s="3" t="s">
        <v>555</v>
      </c>
      <c r="B108" s="5">
        <v>45197</v>
      </c>
      <c r="C108" s="3" t="s">
        <v>315</v>
      </c>
      <c r="D108" s="3" t="s">
        <v>556</v>
      </c>
      <c r="E108" s="3" t="str">
        <f>VLOOKUP(ventas[[#This Row],[ID Producto]],productos[#All],3,FALSE)</f>
        <v>Limpieza</v>
      </c>
      <c r="F108" s="10" t="s">
        <v>9</v>
      </c>
      <c r="G108" s="3" t="s">
        <v>453</v>
      </c>
      <c r="H108">
        <v>2</v>
      </c>
      <c r="I108">
        <v>1445</v>
      </c>
      <c r="J108">
        <v>289</v>
      </c>
    </row>
    <row r="109" spans="1:10" x14ac:dyDescent="0.2">
      <c r="A109" s="3" t="s">
        <v>557</v>
      </c>
      <c r="B109" s="5">
        <v>44985</v>
      </c>
      <c r="C109" s="3" t="s">
        <v>403</v>
      </c>
      <c r="D109" s="3" t="s">
        <v>556</v>
      </c>
      <c r="E109" s="3" t="str">
        <f>VLOOKUP(ventas[[#This Row],[ID Producto]],productos[#All],3,FALSE)</f>
        <v>Limpieza</v>
      </c>
      <c r="F109" s="9" t="s">
        <v>15</v>
      </c>
      <c r="G109" s="3" t="s">
        <v>453</v>
      </c>
      <c r="H109">
        <v>4</v>
      </c>
      <c r="I109">
        <v>1445</v>
      </c>
      <c r="J109">
        <v>578</v>
      </c>
    </row>
    <row r="110" spans="1:10" x14ac:dyDescent="0.2">
      <c r="A110" s="3" t="s">
        <v>558</v>
      </c>
      <c r="B110" s="5">
        <v>44977</v>
      </c>
      <c r="C110" s="3" t="s">
        <v>199</v>
      </c>
      <c r="D110" s="3" t="s">
        <v>556</v>
      </c>
      <c r="E110" s="3" t="str">
        <f>VLOOKUP(ventas[[#This Row],[ID Producto]],productos[#All],3,FALSE)</f>
        <v>Limpieza</v>
      </c>
      <c r="F110" s="9" t="s">
        <v>9</v>
      </c>
      <c r="G110" s="3" t="s">
        <v>463</v>
      </c>
      <c r="H110">
        <v>3</v>
      </c>
      <c r="I110">
        <v>1445</v>
      </c>
      <c r="J110">
        <v>4335</v>
      </c>
    </row>
    <row r="111" spans="1:10" x14ac:dyDescent="0.2">
      <c r="A111" s="3" t="s">
        <v>559</v>
      </c>
      <c r="B111" s="5">
        <v>45132</v>
      </c>
      <c r="C111" s="3" t="s">
        <v>311</v>
      </c>
      <c r="D111" s="3" t="s">
        <v>556</v>
      </c>
      <c r="E111" s="3" t="str">
        <f>VLOOKUP(ventas[[#This Row],[ID Producto]],productos[#All],3,FALSE)</f>
        <v>Limpieza</v>
      </c>
      <c r="F111" s="9" t="s">
        <v>11</v>
      </c>
      <c r="G111" s="3" t="s">
        <v>463</v>
      </c>
      <c r="H111">
        <v>4</v>
      </c>
      <c r="I111">
        <v>1445</v>
      </c>
      <c r="J111">
        <v>578</v>
      </c>
    </row>
    <row r="112" spans="1:10" x14ac:dyDescent="0.2">
      <c r="A112" s="3" t="s">
        <v>560</v>
      </c>
      <c r="B112" s="5">
        <v>44970</v>
      </c>
      <c r="C112" s="3" t="s">
        <v>405</v>
      </c>
      <c r="D112" s="3" t="s">
        <v>556</v>
      </c>
      <c r="E112" s="3" t="str">
        <f>VLOOKUP(ventas[[#This Row],[ID Producto]],productos[#All],3,FALSE)</f>
        <v>Limpieza</v>
      </c>
      <c r="F112" s="10" t="s">
        <v>9</v>
      </c>
      <c r="G112" s="3" t="s">
        <v>456</v>
      </c>
      <c r="H112">
        <v>9</v>
      </c>
      <c r="I112">
        <v>1445</v>
      </c>
      <c r="J112">
        <v>13005</v>
      </c>
    </row>
    <row r="113" spans="1:10" x14ac:dyDescent="0.2">
      <c r="A113" s="3" t="s">
        <v>561</v>
      </c>
      <c r="B113" s="5">
        <v>45187</v>
      </c>
      <c r="C113" s="3" t="s">
        <v>113</v>
      </c>
      <c r="D113" s="3" t="s">
        <v>556</v>
      </c>
      <c r="E113" s="3" t="str">
        <f>VLOOKUP(ventas[[#This Row],[ID Producto]],productos[#All],3,FALSE)</f>
        <v>Limpieza</v>
      </c>
      <c r="F113" s="10" t="s">
        <v>9</v>
      </c>
      <c r="G113" s="3" t="s">
        <v>463</v>
      </c>
      <c r="H113">
        <v>4</v>
      </c>
      <c r="I113">
        <v>1445</v>
      </c>
      <c r="J113">
        <v>578</v>
      </c>
    </row>
    <row r="114" spans="1:10" x14ac:dyDescent="0.2">
      <c r="A114" s="3" t="s">
        <v>562</v>
      </c>
      <c r="B114" s="5">
        <v>45039</v>
      </c>
      <c r="C114" s="3" t="s">
        <v>281</v>
      </c>
      <c r="D114" s="3" t="s">
        <v>556</v>
      </c>
      <c r="E114" s="3" t="str">
        <f>VLOOKUP(ventas[[#This Row],[ID Producto]],productos[#All],3,FALSE)</f>
        <v>Limpieza</v>
      </c>
      <c r="F114" s="9" t="s">
        <v>15</v>
      </c>
      <c r="G114" s="3" t="s">
        <v>453</v>
      </c>
      <c r="H114">
        <v>4</v>
      </c>
      <c r="I114">
        <v>1445</v>
      </c>
      <c r="J114">
        <v>578</v>
      </c>
    </row>
    <row r="115" spans="1:10" x14ac:dyDescent="0.2">
      <c r="A115" s="3" t="s">
        <v>563</v>
      </c>
      <c r="B115" s="5">
        <v>44928</v>
      </c>
      <c r="C115" s="3" t="s">
        <v>173</v>
      </c>
      <c r="D115" s="3" t="s">
        <v>556</v>
      </c>
      <c r="E115" s="3" t="str">
        <f>VLOOKUP(ventas[[#This Row],[ID Producto]],productos[#All],3,FALSE)</f>
        <v>Limpieza</v>
      </c>
      <c r="F115" s="9" t="s">
        <v>9</v>
      </c>
      <c r="G115" s="3" t="s">
        <v>456</v>
      </c>
      <c r="H115">
        <v>4</v>
      </c>
      <c r="I115">
        <v>1445</v>
      </c>
      <c r="J115">
        <v>578</v>
      </c>
    </row>
    <row r="116" spans="1:10" x14ac:dyDescent="0.2">
      <c r="A116" s="3" t="s">
        <v>564</v>
      </c>
      <c r="B116" s="5">
        <v>45056</v>
      </c>
      <c r="C116" s="3" t="s">
        <v>229</v>
      </c>
      <c r="D116" s="3" t="s">
        <v>556</v>
      </c>
      <c r="E116" s="3" t="str">
        <f>VLOOKUP(ventas[[#This Row],[ID Producto]],productos[#All],3,FALSE)</f>
        <v>Limpieza</v>
      </c>
      <c r="F116" s="9" t="s">
        <v>11</v>
      </c>
      <c r="G116" s="3" t="s">
        <v>456</v>
      </c>
      <c r="H116">
        <v>3</v>
      </c>
      <c r="I116">
        <v>1445</v>
      </c>
      <c r="J116">
        <v>4335</v>
      </c>
    </row>
    <row r="117" spans="1:10" x14ac:dyDescent="0.2">
      <c r="A117" s="3" t="s">
        <v>565</v>
      </c>
      <c r="B117" s="5">
        <v>45077</v>
      </c>
      <c r="C117" s="3" t="s">
        <v>415</v>
      </c>
      <c r="D117" s="3" t="s">
        <v>556</v>
      </c>
      <c r="E117" s="3" t="str">
        <f>VLOOKUP(ventas[[#This Row],[ID Producto]],productos[#All],3,FALSE)</f>
        <v>Limpieza</v>
      </c>
      <c r="F117" s="10" t="s">
        <v>9</v>
      </c>
      <c r="G117" s="3" t="s">
        <v>456</v>
      </c>
      <c r="H117">
        <v>1</v>
      </c>
      <c r="I117">
        <v>1445</v>
      </c>
      <c r="J117">
        <v>1445</v>
      </c>
    </row>
    <row r="118" spans="1:10" x14ac:dyDescent="0.2">
      <c r="A118" s="3" t="s">
        <v>566</v>
      </c>
      <c r="B118" s="5">
        <v>45164</v>
      </c>
      <c r="C118" s="3" t="s">
        <v>239</v>
      </c>
      <c r="D118" s="3" t="s">
        <v>556</v>
      </c>
      <c r="E118" s="3" t="str">
        <f>VLOOKUP(ventas[[#This Row],[ID Producto]],productos[#All],3,FALSE)</f>
        <v>Limpieza</v>
      </c>
      <c r="F118" s="10" t="s">
        <v>9</v>
      </c>
      <c r="G118" s="3" t="s">
        <v>463</v>
      </c>
      <c r="H118">
        <v>6</v>
      </c>
      <c r="I118">
        <v>1445</v>
      </c>
      <c r="J118">
        <v>867</v>
      </c>
    </row>
    <row r="119" spans="1:10" x14ac:dyDescent="0.2">
      <c r="A119" s="3" t="s">
        <v>567</v>
      </c>
      <c r="B119" s="5">
        <v>44953</v>
      </c>
      <c r="C119" s="3" t="s">
        <v>377</v>
      </c>
      <c r="D119" s="3" t="s">
        <v>556</v>
      </c>
      <c r="E119" s="3" t="str">
        <f>VLOOKUP(ventas[[#This Row],[ID Producto]],productos[#All],3,FALSE)</f>
        <v>Limpieza</v>
      </c>
      <c r="F119" s="9" t="s">
        <v>15</v>
      </c>
      <c r="G119" s="3" t="s">
        <v>453</v>
      </c>
      <c r="H119">
        <v>2</v>
      </c>
      <c r="I119">
        <v>1445</v>
      </c>
      <c r="J119">
        <v>289</v>
      </c>
    </row>
    <row r="120" spans="1:10" x14ac:dyDescent="0.2">
      <c r="A120" s="3" t="s">
        <v>568</v>
      </c>
      <c r="B120" s="5">
        <v>45073</v>
      </c>
      <c r="C120" s="3" t="s">
        <v>369</v>
      </c>
      <c r="D120" s="3" t="s">
        <v>556</v>
      </c>
      <c r="E120" s="3" t="str">
        <f>VLOOKUP(ventas[[#This Row],[ID Producto]],productos[#All],3,FALSE)</f>
        <v>Limpieza</v>
      </c>
      <c r="F120" s="9" t="s">
        <v>9</v>
      </c>
      <c r="G120" s="3" t="s">
        <v>453</v>
      </c>
      <c r="H120">
        <v>6</v>
      </c>
      <c r="I120">
        <v>1445</v>
      </c>
      <c r="J120">
        <v>867</v>
      </c>
    </row>
    <row r="121" spans="1:10" x14ac:dyDescent="0.2">
      <c r="A121" s="3" t="s">
        <v>569</v>
      </c>
      <c r="B121" s="5">
        <v>45118</v>
      </c>
      <c r="C121" s="3" t="s">
        <v>341</v>
      </c>
      <c r="D121" s="3" t="s">
        <v>556</v>
      </c>
      <c r="E121" s="3" t="str">
        <f>VLOOKUP(ventas[[#This Row],[ID Producto]],productos[#All],3,FALSE)</f>
        <v>Limpieza</v>
      </c>
      <c r="F121" s="9" t="s">
        <v>11</v>
      </c>
      <c r="G121" s="3" t="s">
        <v>463</v>
      </c>
      <c r="H121">
        <v>2</v>
      </c>
      <c r="I121">
        <v>1445</v>
      </c>
      <c r="J121">
        <v>289</v>
      </c>
    </row>
    <row r="122" spans="1:10" x14ac:dyDescent="0.2">
      <c r="A122" s="3" t="s">
        <v>570</v>
      </c>
      <c r="B122" s="5">
        <v>45179</v>
      </c>
      <c r="C122" s="3" t="s">
        <v>121</v>
      </c>
      <c r="D122" s="3" t="s">
        <v>556</v>
      </c>
      <c r="E122" s="3" t="str">
        <f>VLOOKUP(ventas[[#This Row],[ID Producto]],productos[#All],3,FALSE)</f>
        <v>Limpieza</v>
      </c>
      <c r="F122" s="10" t="s">
        <v>9</v>
      </c>
      <c r="G122" s="3" t="s">
        <v>453</v>
      </c>
      <c r="H122">
        <v>4</v>
      </c>
      <c r="I122">
        <v>1445</v>
      </c>
      <c r="J122">
        <v>578</v>
      </c>
    </row>
    <row r="123" spans="1:10" x14ac:dyDescent="0.2">
      <c r="A123" s="3" t="s">
        <v>571</v>
      </c>
      <c r="B123" s="5">
        <v>45077</v>
      </c>
      <c r="C123" s="3" t="s">
        <v>65</v>
      </c>
      <c r="D123" s="3" t="s">
        <v>556</v>
      </c>
      <c r="E123" s="3" t="str">
        <f>VLOOKUP(ventas[[#This Row],[ID Producto]],productos[#All],3,FALSE)</f>
        <v>Limpieza</v>
      </c>
      <c r="F123" s="10" t="s">
        <v>9</v>
      </c>
      <c r="G123" s="3" t="s">
        <v>463</v>
      </c>
      <c r="H123">
        <v>3</v>
      </c>
      <c r="I123">
        <v>1445</v>
      </c>
      <c r="J123">
        <v>4335</v>
      </c>
    </row>
    <row r="124" spans="1:10" x14ac:dyDescent="0.2">
      <c r="A124" s="3" t="s">
        <v>572</v>
      </c>
      <c r="B124" s="5">
        <v>45081</v>
      </c>
      <c r="C124" s="3" t="s">
        <v>435</v>
      </c>
      <c r="D124" s="3" t="s">
        <v>556</v>
      </c>
      <c r="E124" s="3" t="str">
        <f>VLOOKUP(ventas[[#This Row],[ID Producto]],productos[#All],3,FALSE)</f>
        <v>Limpieza</v>
      </c>
      <c r="F124" s="9" t="s">
        <v>15</v>
      </c>
      <c r="G124" s="3" t="s">
        <v>456</v>
      </c>
      <c r="H124">
        <v>1</v>
      </c>
      <c r="I124">
        <v>1445</v>
      </c>
      <c r="J124">
        <v>1445</v>
      </c>
    </row>
    <row r="125" spans="1:10" x14ac:dyDescent="0.2">
      <c r="A125" s="3" t="s">
        <v>573</v>
      </c>
      <c r="B125" s="5">
        <v>45096</v>
      </c>
      <c r="C125" s="3" t="s">
        <v>105</v>
      </c>
      <c r="D125" s="3" t="s">
        <v>556</v>
      </c>
      <c r="E125" s="3" t="str">
        <f>VLOOKUP(ventas[[#This Row],[ID Producto]],productos[#All],3,FALSE)</f>
        <v>Limpieza</v>
      </c>
      <c r="F125" s="9" t="s">
        <v>9</v>
      </c>
      <c r="G125" s="3" t="s">
        <v>463</v>
      </c>
      <c r="H125">
        <v>1</v>
      </c>
      <c r="I125">
        <v>1445</v>
      </c>
      <c r="J125">
        <v>1445</v>
      </c>
    </row>
    <row r="126" spans="1:10" x14ac:dyDescent="0.2">
      <c r="A126" s="3" t="s">
        <v>574</v>
      </c>
      <c r="B126" s="5">
        <v>45214</v>
      </c>
      <c r="C126" s="3" t="s">
        <v>199</v>
      </c>
      <c r="D126" s="3" t="s">
        <v>556</v>
      </c>
      <c r="E126" s="3" t="str">
        <f>VLOOKUP(ventas[[#This Row],[ID Producto]],productos[#All],3,FALSE)</f>
        <v>Limpieza</v>
      </c>
      <c r="F126" s="9" t="s">
        <v>11</v>
      </c>
      <c r="G126" s="3" t="s">
        <v>463</v>
      </c>
      <c r="H126">
        <v>8</v>
      </c>
      <c r="I126">
        <v>1445</v>
      </c>
      <c r="J126">
        <v>1156</v>
      </c>
    </row>
    <row r="127" spans="1:10" x14ac:dyDescent="0.2">
      <c r="A127" s="3" t="s">
        <v>575</v>
      </c>
      <c r="B127" s="5">
        <v>45237</v>
      </c>
      <c r="C127" s="3" t="s">
        <v>345</v>
      </c>
      <c r="D127" s="3" t="s">
        <v>556</v>
      </c>
      <c r="E127" s="3" t="str">
        <f>VLOOKUP(ventas[[#This Row],[ID Producto]],productos[#All],3,FALSE)</f>
        <v>Limpieza</v>
      </c>
      <c r="F127" s="10" t="s">
        <v>9</v>
      </c>
      <c r="G127" s="3" t="s">
        <v>463</v>
      </c>
      <c r="H127">
        <v>6</v>
      </c>
      <c r="I127">
        <v>1445</v>
      </c>
      <c r="J127">
        <v>867</v>
      </c>
    </row>
    <row r="128" spans="1:10" x14ac:dyDescent="0.2">
      <c r="A128" s="3" t="s">
        <v>576</v>
      </c>
      <c r="B128" s="5">
        <v>45032</v>
      </c>
      <c r="C128" s="3" t="s">
        <v>273</v>
      </c>
      <c r="D128" s="3" t="s">
        <v>556</v>
      </c>
      <c r="E128" s="3" t="str">
        <f>VLOOKUP(ventas[[#This Row],[ID Producto]],productos[#All],3,FALSE)</f>
        <v>Limpieza</v>
      </c>
      <c r="F128" s="10" t="s">
        <v>9</v>
      </c>
      <c r="G128" s="3" t="s">
        <v>453</v>
      </c>
      <c r="H128">
        <v>1</v>
      </c>
      <c r="I128">
        <v>1445</v>
      </c>
      <c r="J128">
        <v>1445</v>
      </c>
    </row>
    <row r="129" spans="1:10" x14ac:dyDescent="0.2">
      <c r="A129" s="3" t="s">
        <v>577</v>
      </c>
      <c r="B129" s="5">
        <v>45205</v>
      </c>
      <c r="C129" s="3" t="s">
        <v>343</v>
      </c>
      <c r="D129" s="3" t="s">
        <v>556</v>
      </c>
      <c r="E129" s="3" t="str">
        <f>VLOOKUP(ventas[[#This Row],[ID Producto]],productos[#All],3,FALSE)</f>
        <v>Limpieza</v>
      </c>
      <c r="F129" s="9" t="s">
        <v>15</v>
      </c>
      <c r="G129" s="3" t="s">
        <v>463</v>
      </c>
      <c r="H129">
        <v>2</v>
      </c>
      <c r="I129">
        <v>1445</v>
      </c>
      <c r="J129">
        <v>289</v>
      </c>
    </row>
    <row r="130" spans="1:10" x14ac:dyDescent="0.2">
      <c r="A130" s="3" t="s">
        <v>578</v>
      </c>
      <c r="B130" s="5">
        <v>45048</v>
      </c>
      <c r="C130" s="3" t="s">
        <v>355</v>
      </c>
      <c r="D130" s="3" t="s">
        <v>556</v>
      </c>
      <c r="E130" s="3" t="str">
        <f>VLOOKUP(ventas[[#This Row],[ID Producto]],productos[#All],3,FALSE)</f>
        <v>Limpieza</v>
      </c>
      <c r="F130" s="9" t="s">
        <v>9</v>
      </c>
      <c r="G130" s="3" t="s">
        <v>456</v>
      </c>
      <c r="H130">
        <v>3</v>
      </c>
      <c r="I130">
        <v>1445</v>
      </c>
      <c r="J130">
        <v>4335</v>
      </c>
    </row>
    <row r="131" spans="1:10" x14ac:dyDescent="0.2">
      <c r="A131" s="3" t="s">
        <v>579</v>
      </c>
      <c r="B131" s="5">
        <v>44974</v>
      </c>
      <c r="C131" s="3" t="s">
        <v>389</v>
      </c>
      <c r="D131" s="3" t="s">
        <v>556</v>
      </c>
      <c r="E131" s="3" t="str">
        <f>VLOOKUP(ventas[[#This Row],[ID Producto]],productos[#All],3,FALSE)</f>
        <v>Limpieza</v>
      </c>
      <c r="F131" s="9" t="s">
        <v>11</v>
      </c>
      <c r="G131" s="3" t="s">
        <v>456</v>
      </c>
      <c r="H131">
        <v>7</v>
      </c>
      <c r="I131">
        <v>1445</v>
      </c>
      <c r="J131">
        <v>10115</v>
      </c>
    </row>
    <row r="132" spans="1:10" x14ac:dyDescent="0.2">
      <c r="A132" s="3" t="s">
        <v>580</v>
      </c>
      <c r="B132" s="5">
        <v>45198</v>
      </c>
      <c r="C132" s="3" t="s">
        <v>97</v>
      </c>
      <c r="D132" s="3" t="s">
        <v>556</v>
      </c>
      <c r="E132" s="3" t="str">
        <f>VLOOKUP(ventas[[#This Row],[ID Producto]],productos[#All],3,FALSE)</f>
        <v>Limpieza</v>
      </c>
      <c r="F132" s="10" t="s">
        <v>9</v>
      </c>
      <c r="G132" s="3" t="s">
        <v>456</v>
      </c>
      <c r="H132">
        <v>4</v>
      </c>
      <c r="I132">
        <v>1445</v>
      </c>
      <c r="J132">
        <v>578</v>
      </c>
    </row>
    <row r="133" spans="1:10" x14ac:dyDescent="0.2">
      <c r="A133" s="3" t="s">
        <v>581</v>
      </c>
      <c r="B133" s="5">
        <v>44973</v>
      </c>
      <c r="C133" s="3" t="s">
        <v>425</v>
      </c>
      <c r="D133" s="3" t="s">
        <v>556</v>
      </c>
      <c r="E133" s="3" t="str">
        <f>VLOOKUP(ventas[[#This Row],[ID Producto]],productos[#All],3,FALSE)</f>
        <v>Limpieza</v>
      </c>
      <c r="F133" s="10" t="s">
        <v>9</v>
      </c>
      <c r="G133" s="3" t="s">
        <v>456</v>
      </c>
      <c r="H133">
        <v>3</v>
      </c>
      <c r="I133">
        <v>1445</v>
      </c>
      <c r="J133">
        <v>4335</v>
      </c>
    </row>
    <row r="134" spans="1:10" x14ac:dyDescent="0.2">
      <c r="A134" s="3" t="s">
        <v>582</v>
      </c>
      <c r="B134" s="5">
        <v>45020</v>
      </c>
      <c r="C134" s="3" t="s">
        <v>81</v>
      </c>
      <c r="D134" s="3" t="s">
        <v>556</v>
      </c>
      <c r="E134" s="3" t="str">
        <f>VLOOKUP(ventas[[#This Row],[ID Producto]],productos[#All],3,FALSE)</f>
        <v>Limpieza</v>
      </c>
      <c r="F134" s="9" t="s">
        <v>15</v>
      </c>
      <c r="G134" s="3" t="s">
        <v>463</v>
      </c>
      <c r="H134">
        <v>7</v>
      </c>
      <c r="I134">
        <v>1445</v>
      </c>
      <c r="J134">
        <v>10115</v>
      </c>
    </row>
    <row r="135" spans="1:10" x14ac:dyDescent="0.2">
      <c r="A135" s="3" t="s">
        <v>583</v>
      </c>
      <c r="B135" s="5">
        <v>45266</v>
      </c>
      <c r="C135" s="3" t="s">
        <v>317</v>
      </c>
      <c r="D135" s="3" t="s">
        <v>556</v>
      </c>
      <c r="E135" s="3" t="str">
        <f>VLOOKUP(ventas[[#This Row],[ID Producto]],productos[#All],3,FALSE)</f>
        <v>Limpieza</v>
      </c>
      <c r="F135" s="9" t="s">
        <v>9</v>
      </c>
      <c r="G135" s="3" t="s">
        <v>456</v>
      </c>
      <c r="H135">
        <v>9</v>
      </c>
      <c r="I135">
        <v>1445</v>
      </c>
      <c r="J135">
        <v>13005</v>
      </c>
    </row>
    <row r="136" spans="1:10" x14ac:dyDescent="0.2">
      <c r="A136" s="3" t="s">
        <v>584</v>
      </c>
      <c r="B136" s="5">
        <v>45016</v>
      </c>
      <c r="C136" s="3" t="s">
        <v>243</v>
      </c>
      <c r="D136" s="3" t="s">
        <v>556</v>
      </c>
      <c r="E136" s="3" t="str">
        <f>VLOOKUP(ventas[[#This Row],[ID Producto]],productos[#All],3,FALSE)</f>
        <v>Limpieza</v>
      </c>
      <c r="F136" s="9" t="s">
        <v>11</v>
      </c>
      <c r="G136" s="3" t="s">
        <v>463</v>
      </c>
      <c r="H136">
        <v>7</v>
      </c>
      <c r="I136">
        <v>1445</v>
      </c>
      <c r="J136">
        <v>10115</v>
      </c>
    </row>
    <row r="137" spans="1:10" x14ac:dyDescent="0.2">
      <c r="A137" s="3" t="s">
        <v>585</v>
      </c>
      <c r="B137" s="5">
        <v>45078</v>
      </c>
      <c r="C137" s="3" t="s">
        <v>387</v>
      </c>
      <c r="D137" s="3" t="s">
        <v>556</v>
      </c>
      <c r="E137" s="3" t="str">
        <f>VLOOKUP(ventas[[#This Row],[ID Producto]],productos[#All],3,FALSE)</f>
        <v>Limpieza</v>
      </c>
      <c r="F137" s="10" t="s">
        <v>9</v>
      </c>
      <c r="G137" s="3" t="s">
        <v>453</v>
      </c>
      <c r="H137">
        <v>8</v>
      </c>
      <c r="I137">
        <v>1445</v>
      </c>
      <c r="J137">
        <v>1156</v>
      </c>
    </row>
    <row r="138" spans="1:10" x14ac:dyDescent="0.2">
      <c r="A138" s="3" t="s">
        <v>586</v>
      </c>
      <c r="B138" s="5">
        <v>45281</v>
      </c>
      <c r="C138" s="3" t="s">
        <v>139</v>
      </c>
      <c r="D138" s="3" t="s">
        <v>556</v>
      </c>
      <c r="E138" s="3" t="str">
        <f>VLOOKUP(ventas[[#This Row],[ID Producto]],productos[#All],3,FALSE)</f>
        <v>Limpieza</v>
      </c>
      <c r="F138" s="10" t="s">
        <v>9</v>
      </c>
      <c r="G138" s="3" t="s">
        <v>463</v>
      </c>
      <c r="H138">
        <v>3</v>
      </c>
      <c r="I138">
        <v>1445</v>
      </c>
      <c r="J138">
        <v>4335</v>
      </c>
    </row>
    <row r="139" spans="1:10" x14ac:dyDescent="0.2">
      <c r="A139" s="3" t="s">
        <v>587</v>
      </c>
      <c r="B139" s="5">
        <v>45161</v>
      </c>
      <c r="C139" s="3" t="s">
        <v>389</v>
      </c>
      <c r="D139" s="3" t="s">
        <v>556</v>
      </c>
      <c r="E139" s="3" t="str">
        <f>VLOOKUP(ventas[[#This Row],[ID Producto]],productos[#All],3,FALSE)</f>
        <v>Limpieza</v>
      </c>
      <c r="F139" s="9" t="s">
        <v>15</v>
      </c>
      <c r="G139" s="3" t="s">
        <v>453</v>
      </c>
      <c r="H139">
        <v>8</v>
      </c>
      <c r="I139">
        <v>1445</v>
      </c>
      <c r="J139">
        <v>1156</v>
      </c>
    </row>
    <row r="140" spans="1:10" x14ac:dyDescent="0.2">
      <c r="A140" s="3" t="s">
        <v>588</v>
      </c>
      <c r="B140" s="5">
        <v>45058</v>
      </c>
      <c r="C140" s="3" t="s">
        <v>59</v>
      </c>
      <c r="D140" s="3" t="s">
        <v>556</v>
      </c>
      <c r="E140" s="3" t="str">
        <f>VLOOKUP(ventas[[#This Row],[ID Producto]],productos[#All],3,FALSE)</f>
        <v>Limpieza</v>
      </c>
      <c r="F140" s="9" t="s">
        <v>9</v>
      </c>
      <c r="G140" s="3" t="s">
        <v>463</v>
      </c>
      <c r="H140">
        <v>3</v>
      </c>
      <c r="I140">
        <v>1445</v>
      </c>
      <c r="J140">
        <v>4335</v>
      </c>
    </row>
    <row r="141" spans="1:10" x14ac:dyDescent="0.2">
      <c r="A141" s="3" t="s">
        <v>589</v>
      </c>
      <c r="B141" s="5">
        <v>45099</v>
      </c>
      <c r="C141" s="3" t="s">
        <v>293</v>
      </c>
      <c r="D141" s="3" t="s">
        <v>556</v>
      </c>
      <c r="E141" s="3" t="str">
        <f>VLOOKUP(ventas[[#This Row],[ID Producto]],productos[#All],3,FALSE)</f>
        <v>Limpieza</v>
      </c>
      <c r="F141" s="9" t="s">
        <v>11</v>
      </c>
      <c r="G141" s="3" t="s">
        <v>453</v>
      </c>
      <c r="H141">
        <v>5</v>
      </c>
      <c r="I141">
        <v>1445</v>
      </c>
      <c r="J141">
        <v>7225</v>
      </c>
    </row>
    <row r="142" spans="1:10" x14ac:dyDescent="0.2">
      <c r="A142" s="3" t="s">
        <v>590</v>
      </c>
      <c r="B142" s="5">
        <v>45082</v>
      </c>
      <c r="C142" s="3" t="s">
        <v>137</v>
      </c>
      <c r="D142" s="3" t="s">
        <v>556</v>
      </c>
      <c r="E142" s="3" t="str">
        <f>VLOOKUP(ventas[[#This Row],[ID Producto]],productos[#All],3,FALSE)</f>
        <v>Limpieza</v>
      </c>
      <c r="F142" s="10" t="s">
        <v>9</v>
      </c>
      <c r="G142" s="3" t="s">
        <v>453</v>
      </c>
      <c r="H142">
        <v>6</v>
      </c>
      <c r="I142">
        <v>1445</v>
      </c>
      <c r="J142">
        <v>867</v>
      </c>
    </row>
    <row r="143" spans="1:10" x14ac:dyDescent="0.2">
      <c r="A143" s="3" t="s">
        <v>591</v>
      </c>
      <c r="B143" s="5">
        <v>45154</v>
      </c>
      <c r="C143" s="3" t="s">
        <v>207</v>
      </c>
      <c r="D143" s="3" t="s">
        <v>556</v>
      </c>
      <c r="E143" s="3" t="str">
        <f>VLOOKUP(ventas[[#This Row],[ID Producto]],productos[#All],3,FALSE)</f>
        <v>Limpieza</v>
      </c>
      <c r="F143" s="10" t="s">
        <v>9</v>
      </c>
      <c r="G143" s="3" t="s">
        <v>453</v>
      </c>
      <c r="H143">
        <v>2</v>
      </c>
      <c r="I143">
        <v>1445</v>
      </c>
      <c r="J143">
        <v>289</v>
      </c>
    </row>
    <row r="144" spans="1:10" x14ac:dyDescent="0.2">
      <c r="A144" s="3" t="s">
        <v>592</v>
      </c>
      <c r="B144" s="5">
        <v>45138</v>
      </c>
      <c r="C144" s="3" t="s">
        <v>165</v>
      </c>
      <c r="D144" s="3" t="s">
        <v>556</v>
      </c>
      <c r="E144" s="3" t="str">
        <f>VLOOKUP(ventas[[#This Row],[ID Producto]],productos[#All],3,FALSE)</f>
        <v>Limpieza</v>
      </c>
      <c r="F144" s="9" t="s">
        <v>15</v>
      </c>
      <c r="G144" s="3" t="s">
        <v>456</v>
      </c>
      <c r="H144">
        <v>7</v>
      </c>
      <c r="I144">
        <v>1445</v>
      </c>
      <c r="J144">
        <v>10115</v>
      </c>
    </row>
    <row r="145" spans="1:10" x14ac:dyDescent="0.2">
      <c r="A145" s="3" t="s">
        <v>593</v>
      </c>
      <c r="B145" s="5">
        <v>45103</v>
      </c>
      <c r="C145" s="3" t="s">
        <v>201</v>
      </c>
      <c r="D145" s="3" t="s">
        <v>556</v>
      </c>
      <c r="E145" s="3" t="str">
        <f>VLOOKUP(ventas[[#This Row],[ID Producto]],productos[#All],3,FALSE)</f>
        <v>Limpieza</v>
      </c>
      <c r="F145" s="9" t="s">
        <v>9</v>
      </c>
      <c r="G145" s="3" t="s">
        <v>463</v>
      </c>
      <c r="H145">
        <v>4</v>
      </c>
      <c r="I145">
        <v>1445</v>
      </c>
      <c r="J145">
        <v>578</v>
      </c>
    </row>
    <row r="146" spans="1:10" x14ac:dyDescent="0.2">
      <c r="A146" s="3" t="s">
        <v>594</v>
      </c>
      <c r="B146" s="5">
        <v>45009</v>
      </c>
      <c r="C146" s="3" t="s">
        <v>373</v>
      </c>
      <c r="D146" s="3" t="s">
        <v>556</v>
      </c>
      <c r="E146" s="3" t="str">
        <f>VLOOKUP(ventas[[#This Row],[ID Producto]],productos[#All],3,FALSE)</f>
        <v>Limpieza</v>
      </c>
      <c r="F146" s="9" t="s">
        <v>11</v>
      </c>
      <c r="G146" s="3" t="s">
        <v>463</v>
      </c>
      <c r="H146">
        <v>6</v>
      </c>
      <c r="I146">
        <v>1445</v>
      </c>
      <c r="J146">
        <v>867</v>
      </c>
    </row>
    <row r="147" spans="1:10" x14ac:dyDescent="0.2">
      <c r="A147" s="3" t="s">
        <v>595</v>
      </c>
      <c r="B147" s="5">
        <v>45175</v>
      </c>
      <c r="C147" s="3" t="s">
        <v>245</v>
      </c>
      <c r="D147" s="3" t="s">
        <v>556</v>
      </c>
      <c r="E147" s="3" t="str">
        <f>VLOOKUP(ventas[[#This Row],[ID Producto]],productos[#All],3,FALSE)</f>
        <v>Limpieza</v>
      </c>
      <c r="F147" s="10" t="s">
        <v>9</v>
      </c>
      <c r="G147" s="3" t="s">
        <v>456</v>
      </c>
      <c r="H147">
        <v>2</v>
      </c>
      <c r="I147">
        <v>1445</v>
      </c>
      <c r="J147">
        <v>289</v>
      </c>
    </row>
    <row r="148" spans="1:10" x14ac:dyDescent="0.2">
      <c r="A148" s="3" t="s">
        <v>596</v>
      </c>
      <c r="B148" s="5">
        <v>45110</v>
      </c>
      <c r="C148" s="3" t="s">
        <v>397</v>
      </c>
      <c r="D148" s="3" t="s">
        <v>556</v>
      </c>
      <c r="E148" s="3" t="str">
        <f>VLOOKUP(ventas[[#This Row],[ID Producto]],productos[#All],3,FALSE)</f>
        <v>Limpieza</v>
      </c>
      <c r="F148" s="10" t="s">
        <v>9</v>
      </c>
      <c r="G148" s="3" t="s">
        <v>456</v>
      </c>
      <c r="H148">
        <v>8</v>
      </c>
      <c r="I148">
        <v>1445</v>
      </c>
      <c r="J148">
        <v>1156</v>
      </c>
    </row>
    <row r="149" spans="1:10" x14ac:dyDescent="0.2">
      <c r="A149" s="3" t="s">
        <v>597</v>
      </c>
      <c r="B149" s="5">
        <v>45077</v>
      </c>
      <c r="C149" s="3" t="s">
        <v>341</v>
      </c>
      <c r="D149" s="3" t="s">
        <v>556</v>
      </c>
      <c r="E149" s="3" t="str">
        <f>VLOOKUP(ventas[[#This Row],[ID Producto]],productos[#All],3,FALSE)</f>
        <v>Limpieza</v>
      </c>
      <c r="F149" s="9" t="s">
        <v>15</v>
      </c>
      <c r="G149" s="3" t="s">
        <v>456</v>
      </c>
      <c r="H149">
        <v>8</v>
      </c>
      <c r="I149">
        <v>1445</v>
      </c>
      <c r="J149">
        <v>1156</v>
      </c>
    </row>
    <row r="150" spans="1:10" x14ac:dyDescent="0.2">
      <c r="A150" s="3" t="s">
        <v>598</v>
      </c>
      <c r="B150" s="5">
        <v>45019</v>
      </c>
      <c r="C150" s="3" t="s">
        <v>175</v>
      </c>
      <c r="D150" s="3" t="s">
        <v>556</v>
      </c>
      <c r="E150" s="3" t="str">
        <f>VLOOKUP(ventas[[#This Row],[ID Producto]],productos[#All],3,FALSE)</f>
        <v>Limpieza</v>
      </c>
      <c r="F150" s="9" t="s">
        <v>9</v>
      </c>
      <c r="G150" s="3" t="s">
        <v>453</v>
      </c>
      <c r="H150">
        <v>1</v>
      </c>
      <c r="I150">
        <v>1445</v>
      </c>
      <c r="J150">
        <v>1445</v>
      </c>
    </row>
    <row r="151" spans="1:10" x14ac:dyDescent="0.2">
      <c r="A151" s="3" t="s">
        <v>599</v>
      </c>
      <c r="B151" s="5">
        <v>44987</v>
      </c>
      <c r="C151" s="3" t="s">
        <v>299</v>
      </c>
      <c r="D151" s="3" t="s">
        <v>556</v>
      </c>
      <c r="E151" s="3" t="str">
        <f>VLOOKUP(ventas[[#This Row],[ID Producto]],productos[#All],3,FALSE)</f>
        <v>Limpieza</v>
      </c>
      <c r="F151" s="9" t="s">
        <v>11</v>
      </c>
      <c r="G151" s="3" t="s">
        <v>463</v>
      </c>
      <c r="H151">
        <v>8</v>
      </c>
      <c r="I151">
        <v>1445</v>
      </c>
      <c r="J151">
        <v>1156</v>
      </c>
    </row>
    <row r="152" spans="1:10" x14ac:dyDescent="0.2">
      <c r="A152" s="3" t="s">
        <v>600</v>
      </c>
      <c r="B152" s="5">
        <v>45052</v>
      </c>
      <c r="C152" s="3" t="s">
        <v>369</v>
      </c>
      <c r="D152" s="3" t="s">
        <v>556</v>
      </c>
      <c r="E152" s="3" t="str">
        <f>VLOOKUP(ventas[[#This Row],[ID Producto]],productos[#All],3,FALSE)</f>
        <v>Limpieza</v>
      </c>
      <c r="F152" s="10" t="s">
        <v>9</v>
      </c>
      <c r="G152" s="3" t="s">
        <v>463</v>
      </c>
      <c r="H152">
        <v>4</v>
      </c>
      <c r="I152">
        <v>1445</v>
      </c>
      <c r="J152">
        <v>578</v>
      </c>
    </row>
    <row r="153" spans="1:10" x14ac:dyDescent="0.2">
      <c r="A153" s="3" t="s">
        <v>601</v>
      </c>
      <c r="B153" s="5">
        <v>45190</v>
      </c>
      <c r="C153" s="3" t="s">
        <v>395</v>
      </c>
      <c r="D153" s="3" t="s">
        <v>556</v>
      </c>
      <c r="E153" s="3" t="str">
        <f>VLOOKUP(ventas[[#This Row],[ID Producto]],productos[#All],3,FALSE)</f>
        <v>Limpieza</v>
      </c>
      <c r="F153" s="10" t="s">
        <v>9</v>
      </c>
      <c r="G153" s="3" t="s">
        <v>463</v>
      </c>
      <c r="H153">
        <v>7</v>
      </c>
      <c r="I153">
        <v>1445</v>
      </c>
      <c r="J153">
        <v>10115</v>
      </c>
    </row>
    <row r="154" spans="1:10" x14ac:dyDescent="0.2">
      <c r="A154" s="3" t="s">
        <v>602</v>
      </c>
      <c r="B154" s="5">
        <v>45106</v>
      </c>
      <c r="C154" s="3" t="s">
        <v>145</v>
      </c>
      <c r="D154" s="3" t="s">
        <v>556</v>
      </c>
      <c r="E154" s="3" t="str">
        <f>VLOOKUP(ventas[[#This Row],[ID Producto]],productos[#All],3,FALSE)</f>
        <v>Limpieza</v>
      </c>
      <c r="F154" s="9" t="s">
        <v>15</v>
      </c>
      <c r="G154" s="3" t="s">
        <v>453</v>
      </c>
      <c r="H154">
        <v>2</v>
      </c>
      <c r="I154">
        <v>1445</v>
      </c>
      <c r="J154">
        <v>289</v>
      </c>
    </row>
    <row r="155" spans="1:10" x14ac:dyDescent="0.2">
      <c r="A155" s="3" t="s">
        <v>603</v>
      </c>
      <c r="B155" s="5">
        <v>45146</v>
      </c>
      <c r="C155" s="3" t="s">
        <v>301</v>
      </c>
      <c r="D155" s="3" t="s">
        <v>556</v>
      </c>
      <c r="E155" s="3" t="str">
        <f>VLOOKUP(ventas[[#This Row],[ID Producto]],productos[#All],3,FALSE)</f>
        <v>Limpieza</v>
      </c>
      <c r="F155" s="9" t="s">
        <v>9</v>
      </c>
      <c r="G155" s="3" t="s">
        <v>456</v>
      </c>
      <c r="H155">
        <v>7</v>
      </c>
      <c r="I155">
        <v>1445</v>
      </c>
      <c r="J155">
        <v>10115</v>
      </c>
    </row>
    <row r="156" spans="1:10" x14ac:dyDescent="0.2">
      <c r="A156" s="3" t="s">
        <v>604</v>
      </c>
      <c r="B156" s="5">
        <v>44930</v>
      </c>
      <c r="C156" s="3" t="s">
        <v>423</v>
      </c>
      <c r="D156" s="3" t="s">
        <v>556</v>
      </c>
      <c r="E156" s="3" t="str">
        <f>VLOOKUP(ventas[[#This Row],[ID Producto]],productos[#All],3,FALSE)</f>
        <v>Limpieza</v>
      </c>
      <c r="F156" s="9" t="s">
        <v>11</v>
      </c>
      <c r="G156" s="3" t="s">
        <v>463</v>
      </c>
      <c r="H156">
        <v>1</v>
      </c>
      <c r="I156">
        <v>1445</v>
      </c>
      <c r="J156">
        <v>1445</v>
      </c>
    </row>
    <row r="157" spans="1:10" x14ac:dyDescent="0.2">
      <c r="A157" s="3" t="s">
        <v>605</v>
      </c>
      <c r="B157" s="5">
        <v>45219</v>
      </c>
      <c r="C157" s="3" t="s">
        <v>257</v>
      </c>
      <c r="D157" s="3" t="s">
        <v>556</v>
      </c>
      <c r="E157" s="3" t="str">
        <f>VLOOKUP(ventas[[#This Row],[ID Producto]],productos[#All],3,FALSE)</f>
        <v>Limpieza</v>
      </c>
      <c r="F157" s="10" t="s">
        <v>9</v>
      </c>
      <c r="G157" s="3" t="s">
        <v>456</v>
      </c>
      <c r="H157">
        <v>3</v>
      </c>
      <c r="I157">
        <v>1445</v>
      </c>
      <c r="J157">
        <v>4335</v>
      </c>
    </row>
    <row r="158" spans="1:10" x14ac:dyDescent="0.2">
      <c r="A158" s="3" t="s">
        <v>606</v>
      </c>
      <c r="B158" s="5">
        <v>45033</v>
      </c>
      <c r="C158" s="3" t="s">
        <v>403</v>
      </c>
      <c r="D158" s="3" t="s">
        <v>607</v>
      </c>
      <c r="E158" s="3" t="str">
        <f>VLOOKUP(ventas[[#This Row],[ID Producto]],productos[#All],3,FALSE)</f>
        <v>Carnes</v>
      </c>
      <c r="F158" s="10" t="s">
        <v>9</v>
      </c>
      <c r="G158" s="3" t="s">
        <v>453</v>
      </c>
      <c r="H158">
        <v>2</v>
      </c>
      <c r="I158">
        <v>258</v>
      </c>
      <c r="J158">
        <v>516</v>
      </c>
    </row>
    <row r="159" spans="1:10" x14ac:dyDescent="0.2">
      <c r="A159" s="3" t="s">
        <v>608</v>
      </c>
      <c r="B159" s="5">
        <v>45118</v>
      </c>
      <c r="C159" s="3" t="s">
        <v>351</v>
      </c>
      <c r="D159" s="3" t="s">
        <v>607</v>
      </c>
      <c r="E159" s="3" t="str">
        <f>VLOOKUP(ventas[[#This Row],[ID Producto]],productos[#All],3,FALSE)</f>
        <v>Carnes</v>
      </c>
      <c r="F159" s="9" t="s">
        <v>15</v>
      </c>
      <c r="G159" s="3" t="s">
        <v>463</v>
      </c>
      <c r="H159">
        <v>8</v>
      </c>
      <c r="I159">
        <v>258</v>
      </c>
      <c r="J159">
        <v>2064</v>
      </c>
    </row>
    <row r="160" spans="1:10" x14ac:dyDescent="0.2">
      <c r="A160" s="3" t="s">
        <v>609</v>
      </c>
      <c r="B160" s="5">
        <v>45116</v>
      </c>
      <c r="C160" s="3" t="s">
        <v>321</v>
      </c>
      <c r="D160" s="3" t="s">
        <v>607</v>
      </c>
      <c r="E160" s="3" t="str">
        <f>VLOOKUP(ventas[[#This Row],[ID Producto]],productos[#All],3,FALSE)</f>
        <v>Carnes</v>
      </c>
      <c r="F160" s="9" t="s">
        <v>9</v>
      </c>
      <c r="G160" s="3" t="s">
        <v>453</v>
      </c>
      <c r="H160">
        <v>7</v>
      </c>
      <c r="I160">
        <v>258</v>
      </c>
      <c r="J160">
        <v>1806</v>
      </c>
    </row>
    <row r="161" spans="1:10" x14ac:dyDescent="0.2">
      <c r="A161" s="3" t="s">
        <v>610</v>
      </c>
      <c r="B161" s="5">
        <v>44940</v>
      </c>
      <c r="C161" s="3" t="s">
        <v>107</v>
      </c>
      <c r="D161" s="3" t="s">
        <v>607</v>
      </c>
      <c r="E161" s="3" t="str">
        <f>VLOOKUP(ventas[[#This Row],[ID Producto]],productos[#All],3,FALSE)</f>
        <v>Carnes</v>
      </c>
      <c r="F161" s="9" t="s">
        <v>11</v>
      </c>
      <c r="G161" s="3" t="s">
        <v>453</v>
      </c>
      <c r="H161">
        <v>2</v>
      </c>
      <c r="I161">
        <v>258</v>
      </c>
      <c r="J161">
        <v>516</v>
      </c>
    </row>
    <row r="162" spans="1:10" x14ac:dyDescent="0.2">
      <c r="A162" s="3" t="s">
        <v>611</v>
      </c>
      <c r="B162" s="5">
        <v>45236</v>
      </c>
      <c r="C162" s="3" t="s">
        <v>255</v>
      </c>
      <c r="D162" s="3" t="s">
        <v>607</v>
      </c>
      <c r="E162" s="3" t="str">
        <f>VLOOKUP(ventas[[#This Row],[ID Producto]],productos[#All],3,FALSE)</f>
        <v>Carnes</v>
      </c>
      <c r="F162" s="10" t="s">
        <v>9</v>
      </c>
      <c r="G162" s="3" t="s">
        <v>456</v>
      </c>
      <c r="H162">
        <v>6</v>
      </c>
      <c r="I162">
        <v>258</v>
      </c>
      <c r="J162">
        <v>1548</v>
      </c>
    </row>
    <row r="163" spans="1:10" x14ac:dyDescent="0.2">
      <c r="A163" s="3" t="s">
        <v>612</v>
      </c>
      <c r="B163" s="5">
        <v>45143</v>
      </c>
      <c r="C163" s="3" t="s">
        <v>315</v>
      </c>
      <c r="D163" s="3" t="s">
        <v>607</v>
      </c>
      <c r="E163" s="3" t="str">
        <f>VLOOKUP(ventas[[#This Row],[ID Producto]],productos[#All],3,FALSE)</f>
        <v>Carnes</v>
      </c>
      <c r="F163" s="10" t="s">
        <v>9</v>
      </c>
      <c r="G163" s="3" t="s">
        <v>463</v>
      </c>
      <c r="H163">
        <v>4</v>
      </c>
      <c r="I163">
        <v>258</v>
      </c>
      <c r="J163">
        <v>1032</v>
      </c>
    </row>
    <row r="164" spans="1:10" x14ac:dyDescent="0.2">
      <c r="A164" s="3" t="s">
        <v>613</v>
      </c>
      <c r="B164" s="5">
        <v>44991</v>
      </c>
      <c r="C164" s="3" t="s">
        <v>77</v>
      </c>
      <c r="D164" s="3" t="s">
        <v>607</v>
      </c>
      <c r="E164" s="3" t="str">
        <f>VLOOKUP(ventas[[#This Row],[ID Producto]],productos[#All],3,FALSE)</f>
        <v>Carnes</v>
      </c>
      <c r="F164" s="9" t="s">
        <v>15</v>
      </c>
      <c r="G164" s="3" t="s">
        <v>453</v>
      </c>
      <c r="H164">
        <v>9</v>
      </c>
      <c r="I164">
        <v>258</v>
      </c>
      <c r="J164">
        <v>2322</v>
      </c>
    </row>
    <row r="165" spans="1:10" x14ac:dyDescent="0.2">
      <c r="A165" s="3" t="s">
        <v>614</v>
      </c>
      <c r="B165" s="5">
        <v>45271</v>
      </c>
      <c r="C165" s="3" t="s">
        <v>269</v>
      </c>
      <c r="D165" s="3" t="s">
        <v>607</v>
      </c>
      <c r="E165" s="3" t="str">
        <f>VLOOKUP(ventas[[#This Row],[ID Producto]],productos[#All],3,FALSE)</f>
        <v>Carnes</v>
      </c>
      <c r="F165" s="9" t="s">
        <v>9</v>
      </c>
      <c r="G165" s="3" t="s">
        <v>463</v>
      </c>
      <c r="H165">
        <v>4</v>
      </c>
      <c r="I165">
        <v>258</v>
      </c>
      <c r="J165">
        <v>1032</v>
      </c>
    </row>
    <row r="166" spans="1:10" x14ac:dyDescent="0.2">
      <c r="A166" s="3" t="s">
        <v>615</v>
      </c>
      <c r="B166" s="5">
        <v>45140</v>
      </c>
      <c r="C166" s="3" t="s">
        <v>415</v>
      </c>
      <c r="D166" s="3" t="s">
        <v>607</v>
      </c>
      <c r="E166" s="3" t="str">
        <f>VLOOKUP(ventas[[#This Row],[ID Producto]],productos[#All],3,FALSE)</f>
        <v>Carnes</v>
      </c>
      <c r="F166" s="9" t="s">
        <v>11</v>
      </c>
      <c r="G166" s="3" t="s">
        <v>463</v>
      </c>
      <c r="H166">
        <v>6</v>
      </c>
      <c r="I166">
        <v>258</v>
      </c>
      <c r="J166">
        <v>1548</v>
      </c>
    </row>
    <row r="167" spans="1:10" x14ac:dyDescent="0.2">
      <c r="A167" s="3" t="s">
        <v>616</v>
      </c>
      <c r="B167" s="5">
        <v>45278</v>
      </c>
      <c r="C167" s="3" t="s">
        <v>133</v>
      </c>
      <c r="D167" s="3" t="s">
        <v>607</v>
      </c>
      <c r="E167" s="3" t="str">
        <f>VLOOKUP(ventas[[#This Row],[ID Producto]],productos[#All],3,FALSE)</f>
        <v>Carnes</v>
      </c>
      <c r="F167" s="10" t="s">
        <v>9</v>
      </c>
      <c r="G167" s="3" t="s">
        <v>456</v>
      </c>
      <c r="H167">
        <v>5</v>
      </c>
      <c r="I167">
        <v>258</v>
      </c>
      <c r="J167">
        <v>129</v>
      </c>
    </row>
    <row r="168" spans="1:10" x14ac:dyDescent="0.2">
      <c r="A168" s="3" t="s">
        <v>617</v>
      </c>
      <c r="B168" s="5">
        <v>45157</v>
      </c>
      <c r="C168" s="3" t="s">
        <v>101</v>
      </c>
      <c r="D168" s="3" t="s">
        <v>607</v>
      </c>
      <c r="E168" s="3" t="str">
        <f>VLOOKUP(ventas[[#This Row],[ID Producto]],productos[#All],3,FALSE)</f>
        <v>Carnes</v>
      </c>
      <c r="F168" s="10" t="s">
        <v>9</v>
      </c>
      <c r="G168" s="3" t="s">
        <v>463</v>
      </c>
      <c r="H168">
        <v>7</v>
      </c>
      <c r="I168">
        <v>258</v>
      </c>
      <c r="J168">
        <v>1806</v>
      </c>
    </row>
    <row r="169" spans="1:10" x14ac:dyDescent="0.2">
      <c r="A169" s="3" t="s">
        <v>618</v>
      </c>
      <c r="B169" s="5">
        <v>44955</v>
      </c>
      <c r="C169" s="3" t="s">
        <v>93</v>
      </c>
      <c r="D169" s="3" t="s">
        <v>607</v>
      </c>
      <c r="E169" s="3" t="str">
        <f>VLOOKUP(ventas[[#This Row],[ID Producto]],productos[#All],3,FALSE)</f>
        <v>Carnes</v>
      </c>
      <c r="F169" s="9" t="s">
        <v>15</v>
      </c>
      <c r="G169" s="3" t="s">
        <v>453</v>
      </c>
      <c r="H169">
        <v>8</v>
      </c>
      <c r="I169">
        <v>258</v>
      </c>
      <c r="J169">
        <v>2064</v>
      </c>
    </row>
    <row r="170" spans="1:10" x14ac:dyDescent="0.2">
      <c r="A170" s="3" t="s">
        <v>619</v>
      </c>
      <c r="B170" s="5">
        <v>45159</v>
      </c>
      <c r="C170" s="3" t="s">
        <v>277</v>
      </c>
      <c r="D170" s="3" t="s">
        <v>607</v>
      </c>
      <c r="E170" s="3" t="str">
        <f>VLOOKUP(ventas[[#This Row],[ID Producto]],productos[#All],3,FALSE)</f>
        <v>Carnes</v>
      </c>
      <c r="F170" s="9" t="s">
        <v>9</v>
      </c>
      <c r="G170" s="3" t="s">
        <v>456</v>
      </c>
      <c r="H170">
        <v>5</v>
      </c>
      <c r="I170">
        <v>258</v>
      </c>
      <c r="J170">
        <v>129</v>
      </c>
    </row>
    <row r="171" spans="1:10" x14ac:dyDescent="0.2">
      <c r="A171" s="3" t="s">
        <v>620</v>
      </c>
      <c r="B171" s="5">
        <v>44978</v>
      </c>
      <c r="C171" s="3" t="s">
        <v>397</v>
      </c>
      <c r="D171" s="3" t="s">
        <v>607</v>
      </c>
      <c r="E171" s="3" t="str">
        <f>VLOOKUP(ventas[[#This Row],[ID Producto]],productos[#All],3,FALSE)</f>
        <v>Carnes</v>
      </c>
      <c r="F171" s="9" t="s">
        <v>11</v>
      </c>
      <c r="G171" s="3" t="s">
        <v>463</v>
      </c>
      <c r="H171">
        <v>7</v>
      </c>
      <c r="I171">
        <v>258</v>
      </c>
      <c r="J171">
        <v>1806</v>
      </c>
    </row>
    <row r="172" spans="1:10" x14ac:dyDescent="0.2">
      <c r="A172" s="3" t="s">
        <v>621</v>
      </c>
      <c r="B172" s="5">
        <v>45049</v>
      </c>
      <c r="C172" s="3" t="s">
        <v>445</v>
      </c>
      <c r="D172" s="3" t="s">
        <v>607</v>
      </c>
      <c r="E172" s="3" t="str">
        <f>VLOOKUP(ventas[[#This Row],[ID Producto]],productos[#All],3,FALSE)</f>
        <v>Carnes</v>
      </c>
      <c r="F172" s="10" t="s">
        <v>9</v>
      </c>
      <c r="G172" s="3" t="s">
        <v>456</v>
      </c>
      <c r="H172">
        <v>6</v>
      </c>
      <c r="I172">
        <v>258</v>
      </c>
      <c r="J172">
        <v>1548</v>
      </c>
    </row>
    <row r="173" spans="1:10" x14ac:dyDescent="0.2">
      <c r="A173" s="3" t="s">
        <v>622</v>
      </c>
      <c r="B173" s="5">
        <v>45206</v>
      </c>
      <c r="C173" s="3" t="s">
        <v>223</v>
      </c>
      <c r="D173" s="3" t="s">
        <v>607</v>
      </c>
      <c r="E173" s="3" t="str">
        <f>VLOOKUP(ventas[[#This Row],[ID Producto]],productos[#All],3,FALSE)</f>
        <v>Carnes</v>
      </c>
      <c r="F173" s="10" t="s">
        <v>9</v>
      </c>
      <c r="G173" s="3" t="s">
        <v>453</v>
      </c>
      <c r="H173">
        <v>3</v>
      </c>
      <c r="I173">
        <v>258</v>
      </c>
      <c r="J173">
        <v>774</v>
      </c>
    </row>
    <row r="174" spans="1:10" x14ac:dyDescent="0.2">
      <c r="A174" s="3" t="s">
        <v>623</v>
      </c>
      <c r="B174" s="5">
        <v>45275</v>
      </c>
      <c r="C174" s="3" t="s">
        <v>209</v>
      </c>
      <c r="D174" s="3" t="s">
        <v>607</v>
      </c>
      <c r="E174" s="3" t="str">
        <f>VLOOKUP(ventas[[#This Row],[ID Producto]],productos[#All],3,FALSE)</f>
        <v>Carnes</v>
      </c>
      <c r="F174" s="9" t="s">
        <v>15</v>
      </c>
      <c r="G174" s="3" t="s">
        <v>463</v>
      </c>
      <c r="H174">
        <v>8</v>
      </c>
      <c r="I174">
        <v>258</v>
      </c>
      <c r="J174">
        <v>2064</v>
      </c>
    </row>
    <row r="175" spans="1:10" x14ac:dyDescent="0.2">
      <c r="A175" s="3" t="s">
        <v>624</v>
      </c>
      <c r="B175" s="5">
        <v>45185</v>
      </c>
      <c r="C175" s="3" t="s">
        <v>215</v>
      </c>
      <c r="D175" s="3" t="s">
        <v>607</v>
      </c>
      <c r="E175" s="3" t="str">
        <f>VLOOKUP(ventas[[#This Row],[ID Producto]],productos[#All],3,FALSE)</f>
        <v>Carnes</v>
      </c>
      <c r="F175" s="9" t="s">
        <v>9</v>
      </c>
      <c r="G175" s="3" t="s">
        <v>456</v>
      </c>
      <c r="H175">
        <v>7</v>
      </c>
      <c r="I175">
        <v>258</v>
      </c>
      <c r="J175">
        <v>1806</v>
      </c>
    </row>
    <row r="176" spans="1:10" x14ac:dyDescent="0.2">
      <c r="A176" s="3" t="s">
        <v>625</v>
      </c>
      <c r="B176" s="5">
        <v>45073</v>
      </c>
      <c r="C176" s="3" t="s">
        <v>283</v>
      </c>
      <c r="D176" s="3" t="s">
        <v>607</v>
      </c>
      <c r="E176" s="3" t="str">
        <f>VLOOKUP(ventas[[#This Row],[ID Producto]],productos[#All],3,FALSE)</f>
        <v>Carnes</v>
      </c>
      <c r="F176" s="9" t="s">
        <v>11</v>
      </c>
      <c r="G176" s="3" t="s">
        <v>456</v>
      </c>
      <c r="H176">
        <v>2</v>
      </c>
      <c r="I176">
        <v>258</v>
      </c>
      <c r="J176">
        <v>516</v>
      </c>
    </row>
    <row r="177" spans="1:10" x14ac:dyDescent="0.2">
      <c r="A177" s="3" t="s">
        <v>626</v>
      </c>
      <c r="B177" s="5">
        <v>45193</v>
      </c>
      <c r="C177" s="3" t="s">
        <v>293</v>
      </c>
      <c r="D177" s="3" t="s">
        <v>607</v>
      </c>
      <c r="E177" s="3" t="str">
        <f>VLOOKUP(ventas[[#This Row],[ID Producto]],productos[#All],3,FALSE)</f>
        <v>Carnes</v>
      </c>
      <c r="F177" s="10" t="s">
        <v>9</v>
      </c>
      <c r="G177" s="3" t="s">
        <v>456</v>
      </c>
      <c r="H177">
        <v>5</v>
      </c>
      <c r="I177">
        <v>258</v>
      </c>
      <c r="J177">
        <v>129</v>
      </c>
    </row>
    <row r="178" spans="1:10" x14ac:dyDescent="0.2">
      <c r="A178" s="3" t="s">
        <v>627</v>
      </c>
      <c r="B178" s="5">
        <v>45039</v>
      </c>
      <c r="C178" s="3" t="s">
        <v>309</v>
      </c>
      <c r="D178" s="3" t="s">
        <v>607</v>
      </c>
      <c r="E178" s="3" t="str">
        <f>VLOOKUP(ventas[[#This Row],[ID Producto]],productos[#All],3,FALSE)</f>
        <v>Carnes</v>
      </c>
      <c r="F178" s="10" t="s">
        <v>9</v>
      </c>
      <c r="G178" s="3" t="s">
        <v>453</v>
      </c>
      <c r="H178">
        <v>2</v>
      </c>
      <c r="I178">
        <v>258</v>
      </c>
      <c r="J178">
        <v>516</v>
      </c>
    </row>
    <row r="179" spans="1:10" x14ac:dyDescent="0.2">
      <c r="A179" s="3" t="s">
        <v>628</v>
      </c>
      <c r="B179" s="5">
        <v>45153</v>
      </c>
      <c r="C179" s="3" t="s">
        <v>371</v>
      </c>
      <c r="D179" s="3" t="s">
        <v>607</v>
      </c>
      <c r="E179" s="3" t="str">
        <f>VLOOKUP(ventas[[#This Row],[ID Producto]],productos[#All],3,FALSE)</f>
        <v>Carnes</v>
      </c>
      <c r="F179" s="9" t="s">
        <v>15</v>
      </c>
      <c r="G179" s="3" t="s">
        <v>453</v>
      </c>
      <c r="H179">
        <v>1</v>
      </c>
      <c r="I179">
        <v>258</v>
      </c>
      <c r="J179">
        <v>258</v>
      </c>
    </row>
    <row r="180" spans="1:10" x14ac:dyDescent="0.2">
      <c r="A180" s="3" t="s">
        <v>629</v>
      </c>
      <c r="B180" s="5">
        <v>45102</v>
      </c>
      <c r="C180" s="3" t="s">
        <v>371</v>
      </c>
      <c r="D180" s="3" t="s">
        <v>607</v>
      </c>
      <c r="E180" s="3" t="str">
        <f>VLOOKUP(ventas[[#This Row],[ID Producto]],productos[#All],3,FALSE)</f>
        <v>Carnes</v>
      </c>
      <c r="F180" s="9" t="s">
        <v>9</v>
      </c>
      <c r="G180" s="3" t="s">
        <v>453</v>
      </c>
      <c r="H180">
        <v>7</v>
      </c>
      <c r="I180">
        <v>258</v>
      </c>
      <c r="J180">
        <v>1806</v>
      </c>
    </row>
    <row r="181" spans="1:10" x14ac:dyDescent="0.2">
      <c r="A181" s="3" t="s">
        <v>630</v>
      </c>
      <c r="B181" s="5">
        <v>45209</v>
      </c>
      <c r="C181" s="3" t="s">
        <v>439</v>
      </c>
      <c r="D181" s="3" t="s">
        <v>607</v>
      </c>
      <c r="E181" s="3" t="str">
        <f>VLOOKUP(ventas[[#This Row],[ID Producto]],productos[#All],3,FALSE)</f>
        <v>Carnes</v>
      </c>
      <c r="F181" s="9" t="s">
        <v>11</v>
      </c>
      <c r="G181" s="3" t="s">
        <v>453</v>
      </c>
      <c r="H181">
        <v>3</v>
      </c>
      <c r="I181">
        <v>258</v>
      </c>
      <c r="J181">
        <v>774</v>
      </c>
    </row>
    <row r="182" spans="1:10" x14ac:dyDescent="0.2">
      <c r="A182" s="3" t="s">
        <v>631</v>
      </c>
      <c r="B182" s="5">
        <v>44962</v>
      </c>
      <c r="C182" s="3" t="s">
        <v>217</v>
      </c>
      <c r="D182" s="3" t="s">
        <v>607</v>
      </c>
      <c r="E182" s="3" t="str">
        <f>VLOOKUP(ventas[[#This Row],[ID Producto]],productos[#All],3,FALSE)</f>
        <v>Carnes</v>
      </c>
      <c r="F182" s="10" t="s">
        <v>9</v>
      </c>
      <c r="G182" s="3" t="s">
        <v>453</v>
      </c>
      <c r="H182">
        <v>8</v>
      </c>
      <c r="I182">
        <v>258</v>
      </c>
      <c r="J182">
        <v>2064</v>
      </c>
    </row>
    <row r="183" spans="1:10" x14ac:dyDescent="0.2">
      <c r="A183" s="3" t="s">
        <v>632</v>
      </c>
      <c r="B183" s="5">
        <v>45073</v>
      </c>
      <c r="C183" s="3" t="s">
        <v>125</v>
      </c>
      <c r="D183" s="3" t="s">
        <v>607</v>
      </c>
      <c r="E183" s="3" t="str">
        <f>VLOOKUP(ventas[[#This Row],[ID Producto]],productos[#All],3,FALSE)</f>
        <v>Carnes</v>
      </c>
      <c r="F183" s="10" t="s">
        <v>9</v>
      </c>
      <c r="G183" s="3" t="s">
        <v>456</v>
      </c>
      <c r="H183">
        <v>3</v>
      </c>
      <c r="I183">
        <v>258</v>
      </c>
      <c r="J183">
        <v>774</v>
      </c>
    </row>
    <row r="184" spans="1:10" x14ac:dyDescent="0.2">
      <c r="A184" s="3" t="s">
        <v>633</v>
      </c>
      <c r="B184" s="5">
        <v>45018</v>
      </c>
      <c r="C184" s="3" t="s">
        <v>351</v>
      </c>
      <c r="D184" s="3" t="s">
        <v>607</v>
      </c>
      <c r="E184" s="3" t="str">
        <f>VLOOKUP(ventas[[#This Row],[ID Producto]],productos[#All],3,FALSE)</f>
        <v>Carnes</v>
      </c>
      <c r="F184" s="9" t="s">
        <v>15</v>
      </c>
      <c r="G184" s="3" t="s">
        <v>456</v>
      </c>
      <c r="H184">
        <v>6</v>
      </c>
      <c r="I184">
        <v>258</v>
      </c>
      <c r="J184">
        <v>1548</v>
      </c>
    </row>
    <row r="185" spans="1:10" x14ac:dyDescent="0.2">
      <c r="A185" s="3" t="s">
        <v>634</v>
      </c>
      <c r="B185" s="5">
        <v>45044</v>
      </c>
      <c r="C185" s="3" t="s">
        <v>169</v>
      </c>
      <c r="D185" s="3" t="s">
        <v>607</v>
      </c>
      <c r="E185" s="3" t="str">
        <f>VLOOKUP(ventas[[#This Row],[ID Producto]],productos[#All],3,FALSE)</f>
        <v>Carnes</v>
      </c>
      <c r="F185" s="9" t="s">
        <v>9</v>
      </c>
      <c r="G185" s="3" t="s">
        <v>453</v>
      </c>
      <c r="H185">
        <v>8</v>
      </c>
      <c r="I185">
        <v>258</v>
      </c>
      <c r="J185">
        <v>2064</v>
      </c>
    </row>
    <row r="186" spans="1:10" x14ac:dyDescent="0.2">
      <c r="A186" s="3" t="s">
        <v>635</v>
      </c>
      <c r="B186" s="5">
        <v>45180</v>
      </c>
      <c r="C186" s="3" t="s">
        <v>213</v>
      </c>
      <c r="D186" s="3" t="s">
        <v>607</v>
      </c>
      <c r="E186" s="3" t="str">
        <f>VLOOKUP(ventas[[#This Row],[ID Producto]],productos[#All],3,FALSE)</f>
        <v>Carnes</v>
      </c>
      <c r="F186" s="9" t="s">
        <v>11</v>
      </c>
      <c r="G186" s="3" t="s">
        <v>463</v>
      </c>
      <c r="H186">
        <v>3</v>
      </c>
      <c r="I186">
        <v>258</v>
      </c>
      <c r="J186">
        <v>774</v>
      </c>
    </row>
    <row r="187" spans="1:10" x14ac:dyDescent="0.2">
      <c r="A187" s="3" t="s">
        <v>636</v>
      </c>
      <c r="B187" s="5">
        <v>45262</v>
      </c>
      <c r="C187" s="3" t="s">
        <v>337</v>
      </c>
      <c r="D187" s="3" t="s">
        <v>607</v>
      </c>
      <c r="E187" s="3" t="str">
        <f>VLOOKUP(ventas[[#This Row],[ID Producto]],productos[#All],3,FALSE)</f>
        <v>Carnes</v>
      </c>
      <c r="F187" s="10" t="s">
        <v>9</v>
      </c>
      <c r="G187" s="3" t="s">
        <v>463</v>
      </c>
      <c r="H187">
        <v>3</v>
      </c>
      <c r="I187">
        <v>258</v>
      </c>
      <c r="J187">
        <v>774</v>
      </c>
    </row>
    <row r="188" spans="1:10" x14ac:dyDescent="0.2">
      <c r="A188" s="3" t="s">
        <v>637</v>
      </c>
      <c r="B188" s="5">
        <v>45040</v>
      </c>
      <c r="C188" s="3" t="s">
        <v>77</v>
      </c>
      <c r="D188" s="3" t="s">
        <v>607</v>
      </c>
      <c r="E188" s="3" t="str">
        <f>VLOOKUP(ventas[[#This Row],[ID Producto]],productos[#All],3,FALSE)</f>
        <v>Carnes</v>
      </c>
      <c r="F188" s="10" t="s">
        <v>9</v>
      </c>
      <c r="G188" s="3" t="s">
        <v>463</v>
      </c>
      <c r="H188">
        <v>1</v>
      </c>
      <c r="I188">
        <v>258</v>
      </c>
      <c r="J188">
        <v>258</v>
      </c>
    </row>
    <row r="189" spans="1:10" x14ac:dyDescent="0.2">
      <c r="A189" s="3" t="s">
        <v>638</v>
      </c>
      <c r="B189" s="5">
        <v>44979</v>
      </c>
      <c r="C189" s="3" t="s">
        <v>121</v>
      </c>
      <c r="D189" s="3" t="s">
        <v>607</v>
      </c>
      <c r="E189" s="3" t="str">
        <f>VLOOKUP(ventas[[#This Row],[ID Producto]],productos[#All],3,FALSE)</f>
        <v>Carnes</v>
      </c>
      <c r="F189" s="9" t="s">
        <v>15</v>
      </c>
      <c r="G189" s="3" t="s">
        <v>463</v>
      </c>
      <c r="H189">
        <v>3</v>
      </c>
      <c r="I189">
        <v>258</v>
      </c>
      <c r="J189">
        <v>774</v>
      </c>
    </row>
    <row r="190" spans="1:10" x14ac:dyDescent="0.2">
      <c r="A190" s="3" t="s">
        <v>639</v>
      </c>
      <c r="B190" s="5">
        <v>44933</v>
      </c>
      <c r="C190" s="3" t="s">
        <v>171</v>
      </c>
      <c r="D190" s="3" t="s">
        <v>607</v>
      </c>
      <c r="E190" s="3" t="str">
        <f>VLOOKUP(ventas[[#This Row],[ID Producto]],productos[#All],3,FALSE)</f>
        <v>Carnes</v>
      </c>
      <c r="F190" s="9" t="s">
        <v>9</v>
      </c>
      <c r="G190" s="3" t="s">
        <v>456</v>
      </c>
      <c r="H190">
        <v>7</v>
      </c>
      <c r="I190">
        <v>258</v>
      </c>
      <c r="J190">
        <v>1806</v>
      </c>
    </row>
    <row r="191" spans="1:10" x14ac:dyDescent="0.2">
      <c r="A191" s="3" t="s">
        <v>640</v>
      </c>
      <c r="B191" s="5">
        <v>45265</v>
      </c>
      <c r="C191" s="3" t="s">
        <v>155</v>
      </c>
      <c r="D191" s="3" t="s">
        <v>607</v>
      </c>
      <c r="E191" s="3" t="str">
        <f>VLOOKUP(ventas[[#This Row],[ID Producto]],productos[#All],3,FALSE)</f>
        <v>Carnes</v>
      </c>
      <c r="F191" s="9" t="s">
        <v>11</v>
      </c>
      <c r="G191" s="3" t="s">
        <v>463</v>
      </c>
      <c r="H191">
        <v>6</v>
      </c>
      <c r="I191">
        <v>258</v>
      </c>
      <c r="J191">
        <v>1548</v>
      </c>
    </row>
    <row r="192" spans="1:10" x14ac:dyDescent="0.2">
      <c r="A192" s="3" t="s">
        <v>641</v>
      </c>
      <c r="B192" s="5">
        <v>45143</v>
      </c>
      <c r="C192" s="3" t="s">
        <v>53</v>
      </c>
      <c r="D192" s="3" t="s">
        <v>607</v>
      </c>
      <c r="E192" s="3" t="str">
        <f>VLOOKUP(ventas[[#This Row],[ID Producto]],productos[#All],3,FALSE)</f>
        <v>Carnes</v>
      </c>
      <c r="F192" s="10" t="s">
        <v>9</v>
      </c>
      <c r="G192" s="3" t="s">
        <v>463</v>
      </c>
      <c r="H192">
        <v>2</v>
      </c>
      <c r="I192">
        <v>258</v>
      </c>
      <c r="J192">
        <v>516</v>
      </c>
    </row>
    <row r="193" spans="1:10" x14ac:dyDescent="0.2">
      <c r="A193" s="3" t="s">
        <v>642</v>
      </c>
      <c r="B193" s="5">
        <v>45052</v>
      </c>
      <c r="C193" s="3" t="s">
        <v>367</v>
      </c>
      <c r="D193" s="3" t="s">
        <v>607</v>
      </c>
      <c r="E193" s="3" t="str">
        <f>VLOOKUP(ventas[[#This Row],[ID Producto]],productos[#All],3,FALSE)</f>
        <v>Carnes</v>
      </c>
      <c r="F193" s="10" t="s">
        <v>9</v>
      </c>
      <c r="G193" s="3" t="s">
        <v>453</v>
      </c>
      <c r="H193">
        <v>7</v>
      </c>
      <c r="I193">
        <v>258</v>
      </c>
      <c r="J193">
        <v>1806</v>
      </c>
    </row>
    <row r="194" spans="1:10" x14ac:dyDescent="0.2">
      <c r="A194" s="3" t="s">
        <v>643</v>
      </c>
      <c r="B194" s="5">
        <v>45075</v>
      </c>
      <c r="C194" s="3" t="s">
        <v>199</v>
      </c>
      <c r="D194" s="3" t="s">
        <v>607</v>
      </c>
      <c r="E194" s="3" t="str">
        <f>VLOOKUP(ventas[[#This Row],[ID Producto]],productos[#All],3,FALSE)</f>
        <v>Carnes</v>
      </c>
      <c r="F194" s="9" t="s">
        <v>15</v>
      </c>
      <c r="G194" s="3" t="s">
        <v>456</v>
      </c>
      <c r="H194">
        <v>8</v>
      </c>
      <c r="I194">
        <v>258</v>
      </c>
      <c r="J194">
        <v>2064</v>
      </c>
    </row>
    <row r="195" spans="1:10" x14ac:dyDescent="0.2">
      <c r="A195" s="3" t="s">
        <v>644</v>
      </c>
      <c r="B195" s="5">
        <v>45069</v>
      </c>
      <c r="C195" s="3" t="s">
        <v>339</v>
      </c>
      <c r="D195" s="3" t="s">
        <v>607</v>
      </c>
      <c r="E195" s="3" t="str">
        <f>VLOOKUP(ventas[[#This Row],[ID Producto]],productos[#All],3,FALSE)</f>
        <v>Carnes</v>
      </c>
      <c r="F195" s="9" t="s">
        <v>9</v>
      </c>
      <c r="G195" s="3" t="s">
        <v>456</v>
      </c>
      <c r="H195">
        <v>3</v>
      </c>
      <c r="I195">
        <v>258</v>
      </c>
      <c r="J195">
        <v>774</v>
      </c>
    </row>
    <row r="196" spans="1:10" x14ac:dyDescent="0.2">
      <c r="A196" s="3" t="s">
        <v>645</v>
      </c>
      <c r="B196" s="5">
        <v>45185</v>
      </c>
      <c r="C196" s="3" t="s">
        <v>167</v>
      </c>
      <c r="D196" s="3" t="s">
        <v>607</v>
      </c>
      <c r="E196" s="3" t="str">
        <f>VLOOKUP(ventas[[#This Row],[ID Producto]],productos[#All],3,FALSE)</f>
        <v>Carnes</v>
      </c>
      <c r="F196" s="9" t="s">
        <v>11</v>
      </c>
      <c r="G196" s="3" t="s">
        <v>453</v>
      </c>
      <c r="H196">
        <v>4</v>
      </c>
      <c r="I196">
        <v>258</v>
      </c>
      <c r="J196">
        <v>1032</v>
      </c>
    </row>
    <row r="197" spans="1:10" x14ac:dyDescent="0.2">
      <c r="A197" s="3" t="s">
        <v>646</v>
      </c>
      <c r="B197" s="5">
        <v>45090</v>
      </c>
      <c r="C197" s="3" t="s">
        <v>419</v>
      </c>
      <c r="D197" s="3" t="s">
        <v>607</v>
      </c>
      <c r="E197" s="3" t="str">
        <f>VLOOKUP(ventas[[#This Row],[ID Producto]],productos[#All],3,FALSE)</f>
        <v>Carnes</v>
      </c>
      <c r="F197" s="10" t="s">
        <v>9</v>
      </c>
      <c r="G197" s="3" t="s">
        <v>453</v>
      </c>
      <c r="H197">
        <v>4</v>
      </c>
      <c r="I197">
        <v>258</v>
      </c>
      <c r="J197">
        <v>1032</v>
      </c>
    </row>
    <row r="198" spans="1:10" x14ac:dyDescent="0.2">
      <c r="A198" s="3" t="s">
        <v>647</v>
      </c>
      <c r="B198" s="5">
        <v>45062</v>
      </c>
      <c r="C198" s="3" t="s">
        <v>159</v>
      </c>
      <c r="D198" s="3" t="s">
        <v>607</v>
      </c>
      <c r="E198" s="3" t="str">
        <f>VLOOKUP(ventas[[#This Row],[ID Producto]],productos[#All],3,FALSE)</f>
        <v>Carnes</v>
      </c>
      <c r="F198" s="10" t="s">
        <v>9</v>
      </c>
      <c r="G198" s="3" t="s">
        <v>456</v>
      </c>
      <c r="H198">
        <v>3</v>
      </c>
      <c r="I198">
        <v>258</v>
      </c>
      <c r="J198">
        <v>774</v>
      </c>
    </row>
    <row r="199" spans="1:10" x14ac:dyDescent="0.2">
      <c r="A199" s="3" t="s">
        <v>648</v>
      </c>
      <c r="B199" s="5">
        <v>45143</v>
      </c>
      <c r="C199" s="3" t="s">
        <v>365</v>
      </c>
      <c r="D199" s="3" t="s">
        <v>607</v>
      </c>
      <c r="E199" s="3" t="str">
        <f>VLOOKUP(ventas[[#This Row],[ID Producto]],productos[#All],3,FALSE)</f>
        <v>Carnes</v>
      </c>
      <c r="F199" s="9" t="s">
        <v>15</v>
      </c>
      <c r="G199" s="3" t="s">
        <v>453</v>
      </c>
      <c r="H199">
        <v>6</v>
      </c>
      <c r="I199">
        <v>258</v>
      </c>
      <c r="J199">
        <v>1548</v>
      </c>
    </row>
    <row r="200" spans="1:10" x14ac:dyDescent="0.2">
      <c r="A200" s="3" t="s">
        <v>649</v>
      </c>
      <c r="B200" s="5">
        <v>45177</v>
      </c>
      <c r="C200" s="3" t="s">
        <v>147</v>
      </c>
      <c r="D200" s="3" t="s">
        <v>607</v>
      </c>
      <c r="E200" s="3" t="str">
        <f>VLOOKUP(ventas[[#This Row],[ID Producto]],productos[#All],3,FALSE)</f>
        <v>Carnes</v>
      </c>
      <c r="F200" s="9" t="s">
        <v>9</v>
      </c>
      <c r="G200" s="3" t="s">
        <v>463</v>
      </c>
      <c r="H200">
        <v>9</v>
      </c>
      <c r="I200">
        <v>258</v>
      </c>
      <c r="J200">
        <v>2322</v>
      </c>
    </row>
    <row r="201" spans="1:10" x14ac:dyDescent="0.2">
      <c r="A201" s="3" t="s">
        <v>650</v>
      </c>
      <c r="B201" s="5">
        <v>45001</v>
      </c>
      <c r="C201" s="3" t="s">
        <v>105</v>
      </c>
      <c r="D201" s="3" t="s">
        <v>607</v>
      </c>
      <c r="E201" s="3" t="str">
        <f>VLOOKUP(ventas[[#This Row],[ID Producto]],productos[#All],3,FALSE)</f>
        <v>Carnes</v>
      </c>
      <c r="F201" s="9" t="s">
        <v>11</v>
      </c>
      <c r="G201" s="3" t="s">
        <v>456</v>
      </c>
      <c r="H201">
        <v>5</v>
      </c>
      <c r="I201">
        <v>258</v>
      </c>
      <c r="J201">
        <v>129</v>
      </c>
    </row>
    <row r="202" spans="1:10" x14ac:dyDescent="0.2">
      <c r="A202" s="3" t="s">
        <v>651</v>
      </c>
      <c r="B202" s="5">
        <v>45029</v>
      </c>
      <c r="C202" s="3" t="s">
        <v>325</v>
      </c>
      <c r="D202" s="3" t="s">
        <v>607</v>
      </c>
      <c r="E202" s="3" t="str">
        <f>VLOOKUP(ventas[[#This Row],[ID Producto]],productos[#All],3,FALSE)</f>
        <v>Carnes</v>
      </c>
      <c r="F202" s="10" t="s">
        <v>9</v>
      </c>
      <c r="G202" s="3" t="s">
        <v>456</v>
      </c>
      <c r="H202">
        <v>4</v>
      </c>
      <c r="I202">
        <v>258</v>
      </c>
      <c r="J202">
        <v>1032</v>
      </c>
    </row>
    <row r="203" spans="1:10" x14ac:dyDescent="0.2">
      <c r="A203" s="3" t="s">
        <v>652</v>
      </c>
      <c r="B203" s="5">
        <v>45178</v>
      </c>
      <c r="C203" s="3" t="s">
        <v>315</v>
      </c>
      <c r="D203" s="3" t="s">
        <v>607</v>
      </c>
      <c r="E203" s="3" t="str">
        <f>VLOOKUP(ventas[[#This Row],[ID Producto]],productos[#All],3,FALSE)</f>
        <v>Carnes</v>
      </c>
      <c r="F203" s="10" t="s">
        <v>9</v>
      </c>
      <c r="G203" s="3" t="s">
        <v>453</v>
      </c>
      <c r="H203">
        <v>5</v>
      </c>
      <c r="I203">
        <v>258</v>
      </c>
      <c r="J203">
        <v>129</v>
      </c>
    </row>
    <row r="204" spans="1:10" x14ac:dyDescent="0.2">
      <c r="A204" s="3" t="s">
        <v>653</v>
      </c>
      <c r="B204" s="5">
        <v>45227</v>
      </c>
      <c r="C204" s="3" t="s">
        <v>431</v>
      </c>
      <c r="D204" s="3" t="s">
        <v>607</v>
      </c>
      <c r="E204" s="3" t="str">
        <f>VLOOKUP(ventas[[#This Row],[ID Producto]],productos[#All],3,FALSE)</f>
        <v>Carnes</v>
      </c>
      <c r="F204" s="9" t="s">
        <v>15</v>
      </c>
      <c r="G204" s="3" t="s">
        <v>456</v>
      </c>
      <c r="H204">
        <v>5</v>
      </c>
      <c r="I204">
        <v>258</v>
      </c>
      <c r="J204">
        <v>129</v>
      </c>
    </row>
    <row r="205" spans="1:10" x14ac:dyDescent="0.2">
      <c r="A205" s="3" t="s">
        <v>654</v>
      </c>
      <c r="B205" s="5">
        <v>44973</v>
      </c>
      <c r="C205" s="3" t="s">
        <v>167</v>
      </c>
      <c r="D205" s="3" t="s">
        <v>607</v>
      </c>
      <c r="E205" s="3" t="str">
        <f>VLOOKUP(ventas[[#This Row],[ID Producto]],productos[#All],3,FALSE)</f>
        <v>Carnes</v>
      </c>
      <c r="F205" s="9" t="s">
        <v>9</v>
      </c>
      <c r="G205" s="3" t="s">
        <v>463</v>
      </c>
      <c r="H205">
        <v>3</v>
      </c>
      <c r="I205">
        <v>258</v>
      </c>
      <c r="J205">
        <v>774</v>
      </c>
    </row>
    <row r="206" spans="1:10" x14ac:dyDescent="0.2">
      <c r="A206" s="3" t="s">
        <v>655</v>
      </c>
      <c r="B206" s="5">
        <v>44965</v>
      </c>
      <c r="C206" s="3" t="s">
        <v>155</v>
      </c>
      <c r="D206" s="3" t="s">
        <v>607</v>
      </c>
      <c r="E206" s="3" t="str">
        <f>VLOOKUP(ventas[[#This Row],[ID Producto]],productos[#All],3,FALSE)</f>
        <v>Carnes</v>
      </c>
      <c r="F206" s="9" t="s">
        <v>11</v>
      </c>
      <c r="G206" s="3" t="s">
        <v>456</v>
      </c>
      <c r="H206">
        <v>4</v>
      </c>
      <c r="I206">
        <v>258</v>
      </c>
      <c r="J206">
        <v>1032</v>
      </c>
    </row>
    <row r="207" spans="1:10" x14ac:dyDescent="0.2">
      <c r="A207" s="3" t="s">
        <v>656</v>
      </c>
      <c r="B207" s="5">
        <v>44993</v>
      </c>
      <c r="C207" s="3" t="s">
        <v>201</v>
      </c>
      <c r="D207" s="3" t="s">
        <v>607</v>
      </c>
      <c r="E207" s="3" t="str">
        <f>VLOOKUP(ventas[[#This Row],[ID Producto]],productos[#All],3,FALSE)</f>
        <v>Carnes</v>
      </c>
      <c r="F207" s="10" t="s">
        <v>9</v>
      </c>
      <c r="G207" s="3" t="s">
        <v>463</v>
      </c>
      <c r="H207">
        <v>8</v>
      </c>
      <c r="I207">
        <v>258</v>
      </c>
      <c r="J207">
        <v>2064</v>
      </c>
    </row>
    <row r="208" spans="1:10" x14ac:dyDescent="0.2">
      <c r="A208" s="3" t="s">
        <v>657</v>
      </c>
      <c r="B208" s="5">
        <v>45035</v>
      </c>
      <c r="C208" s="3" t="s">
        <v>355</v>
      </c>
      <c r="D208" s="3" t="s">
        <v>607</v>
      </c>
      <c r="E208" s="3" t="str">
        <f>VLOOKUP(ventas[[#This Row],[ID Producto]],productos[#All],3,FALSE)</f>
        <v>Carnes</v>
      </c>
      <c r="F208" s="10" t="s">
        <v>9</v>
      </c>
      <c r="G208" s="3" t="s">
        <v>456</v>
      </c>
      <c r="H208">
        <v>7</v>
      </c>
      <c r="I208">
        <v>258</v>
      </c>
      <c r="J208">
        <v>1806</v>
      </c>
    </row>
    <row r="209" spans="1:10" x14ac:dyDescent="0.2">
      <c r="A209" s="3" t="s">
        <v>658</v>
      </c>
      <c r="B209" s="5">
        <v>45021</v>
      </c>
      <c r="C209" s="3" t="s">
        <v>215</v>
      </c>
      <c r="D209" s="3" t="s">
        <v>607</v>
      </c>
      <c r="E209" s="3" t="str">
        <f>VLOOKUP(ventas[[#This Row],[ID Producto]],productos[#All],3,FALSE)</f>
        <v>Carnes</v>
      </c>
      <c r="F209" s="9" t="s">
        <v>15</v>
      </c>
      <c r="G209" s="3" t="s">
        <v>453</v>
      </c>
      <c r="H209">
        <v>6</v>
      </c>
      <c r="I209">
        <v>258</v>
      </c>
      <c r="J209">
        <v>1548</v>
      </c>
    </row>
    <row r="210" spans="1:10" x14ac:dyDescent="0.2">
      <c r="A210" s="3" t="s">
        <v>659</v>
      </c>
      <c r="B210" s="5">
        <v>45078</v>
      </c>
      <c r="C210" s="3" t="s">
        <v>171</v>
      </c>
      <c r="D210" s="3" t="s">
        <v>607</v>
      </c>
      <c r="E210" s="3" t="str">
        <f>VLOOKUP(ventas[[#This Row],[ID Producto]],productos[#All],3,FALSE)</f>
        <v>Carnes</v>
      </c>
      <c r="F210" s="9" t="s">
        <v>9</v>
      </c>
      <c r="G210" s="3" t="s">
        <v>453</v>
      </c>
      <c r="H210">
        <v>1</v>
      </c>
      <c r="I210">
        <v>258</v>
      </c>
      <c r="J210">
        <v>258</v>
      </c>
    </row>
    <row r="211" spans="1:10" x14ac:dyDescent="0.2">
      <c r="A211" s="3" t="s">
        <v>660</v>
      </c>
      <c r="B211" s="5">
        <v>44998</v>
      </c>
      <c r="C211" s="3" t="s">
        <v>67</v>
      </c>
      <c r="D211" s="3" t="s">
        <v>661</v>
      </c>
      <c r="E211" s="3" t="str">
        <f>VLOOKUP(ventas[[#This Row],[ID Producto]],productos[#All],3,FALSE)</f>
        <v>Carnes</v>
      </c>
      <c r="F211" s="9" t="s">
        <v>11</v>
      </c>
      <c r="G211" s="3" t="s">
        <v>456</v>
      </c>
      <c r="H211">
        <v>7</v>
      </c>
      <c r="I211">
        <v>166</v>
      </c>
      <c r="J211">
        <v>1162</v>
      </c>
    </row>
    <row r="212" spans="1:10" x14ac:dyDescent="0.2">
      <c r="A212" s="3" t="s">
        <v>662</v>
      </c>
      <c r="B212" s="5">
        <v>45101</v>
      </c>
      <c r="C212" s="3" t="s">
        <v>371</v>
      </c>
      <c r="D212" s="3" t="s">
        <v>661</v>
      </c>
      <c r="E212" s="3" t="str">
        <f>VLOOKUP(ventas[[#This Row],[ID Producto]],productos[#All],3,FALSE)</f>
        <v>Carnes</v>
      </c>
      <c r="F212" s="10" t="s">
        <v>9</v>
      </c>
      <c r="G212" s="3" t="s">
        <v>453</v>
      </c>
      <c r="H212">
        <v>2</v>
      </c>
      <c r="I212">
        <v>166</v>
      </c>
      <c r="J212">
        <v>332</v>
      </c>
    </row>
    <row r="213" spans="1:10" x14ac:dyDescent="0.2">
      <c r="A213" s="3" t="s">
        <v>663</v>
      </c>
      <c r="B213" s="5">
        <v>45286</v>
      </c>
      <c r="C213" s="3" t="s">
        <v>225</v>
      </c>
      <c r="D213" s="3" t="s">
        <v>661</v>
      </c>
      <c r="E213" s="3" t="str">
        <f>VLOOKUP(ventas[[#This Row],[ID Producto]],productos[#All],3,FALSE)</f>
        <v>Carnes</v>
      </c>
      <c r="F213" s="10" t="s">
        <v>9</v>
      </c>
      <c r="G213" s="3" t="s">
        <v>456</v>
      </c>
      <c r="H213">
        <v>9</v>
      </c>
      <c r="I213">
        <v>166</v>
      </c>
      <c r="J213">
        <v>1494</v>
      </c>
    </row>
    <row r="214" spans="1:10" x14ac:dyDescent="0.2">
      <c r="A214" s="3" t="s">
        <v>664</v>
      </c>
      <c r="B214" s="5">
        <v>45141</v>
      </c>
      <c r="C214" s="3" t="s">
        <v>353</v>
      </c>
      <c r="D214" s="3" t="s">
        <v>661</v>
      </c>
      <c r="E214" s="3" t="str">
        <f>VLOOKUP(ventas[[#This Row],[ID Producto]],productos[#All],3,FALSE)</f>
        <v>Carnes</v>
      </c>
      <c r="F214" s="9" t="s">
        <v>15</v>
      </c>
      <c r="G214" s="3" t="s">
        <v>463</v>
      </c>
      <c r="H214">
        <v>3</v>
      </c>
      <c r="I214">
        <v>166</v>
      </c>
      <c r="J214">
        <v>498</v>
      </c>
    </row>
    <row r="215" spans="1:10" x14ac:dyDescent="0.2">
      <c r="A215" s="3" t="s">
        <v>665</v>
      </c>
      <c r="B215" s="5">
        <v>45163</v>
      </c>
      <c r="C215" s="3" t="s">
        <v>405</v>
      </c>
      <c r="D215" s="3" t="s">
        <v>661</v>
      </c>
      <c r="E215" s="3" t="str">
        <f>VLOOKUP(ventas[[#This Row],[ID Producto]],productos[#All],3,FALSE)</f>
        <v>Carnes</v>
      </c>
      <c r="F215" s="9" t="s">
        <v>9</v>
      </c>
      <c r="G215" s="3" t="s">
        <v>453</v>
      </c>
      <c r="H215">
        <v>5</v>
      </c>
      <c r="I215">
        <v>166</v>
      </c>
      <c r="J215">
        <v>83</v>
      </c>
    </row>
    <row r="216" spans="1:10" x14ac:dyDescent="0.2">
      <c r="A216" s="3" t="s">
        <v>666</v>
      </c>
      <c r="B216" s="5">
        <v>45215</v>
      </c>
      <c r="C216" s="3" t="s">
        <v>413</v>
      </c>
      <c r="D216" s="3" t="s">
        <v>661</v>
      </c>
      <c r="E216" s="3" t="str">
        <f>VLOOKUP(ventas[[#This Row],[ID Producto]],productos[#All],3,FALSE)</f>
        <v>Carnes</v>
      </c>
      <c r="F216" s="9" t="s">
        <v>11</v>
      </c>
      <c r="G216" s="3" t="s">
        <v>453</v>
      </c>
      <c r="H216">
        <v>8</v>
      </c>
      <c r="I216">
        <v>166</v>
      </c>
      <c r="J216">
        <v>1328</v>
      </c>
    </row>
    <row r="217" spans="1:10" x14ac:dyDescent="0.2">
      <c r="A217" s="3" t="s">
        <v>667</v>
      </c>
      <c r="B217" s="5">
        <v>45061</v>
      </c>
      <c r="C217" s="3" t="s">
        <v>67</v>
      </c>
      <c r="D217" s="3" t="s">
        <v>661</v>
      </c>
      <c r="E217" s="3" t="str">
        <f>VLOOKUP(ventas[[#This Row],[ID Producto]],productos[#All],3,FALSE)</f>
        <v>Carnes</v>
      </c>
      <c r="F217" s="10" t="s">
        <v>9</v>
      </c>
      <c r="G217" s="3" t="s">
        <v>453</v>
      </c>
      <c r="H217">
        <v>1</v>
      </c>
      <c r="I217">
        <v>166</v>
      </c>
      <c r="J217">
        <v>166</v>
      </c>
    </row>
    <row r="218" spans="1:10" x14ac:dyDescent="0.2">
      <c r="A218" s="3" t="s">
        <v>668</v>
      </c>
      <c r="B218" s="5">
        <v>45272</v>
      </c>
      <c r="C218" s="3" t="s">
        <v>277</v>
      </c>
      <c r="D218" s="3" t="s">
        <v>661</v>
      </c>
      <c r="E218" s="3" t="str">
        <f>VLOOKUP(ventas[[#This Row],[ID Producto]],productos[#All],3,FALSE)</f>
        <v>Carnes</v>
      </c>
      <c r="F218" s="10" t="s">
        <v>9</v>
      </c>
      <c r="G218" s="3" t="s">
        <v>453</v>
      </c>
      <c r="H218">
        <v>6</v>
      </c>
      <c r="I218">
        <v>166</v>
      </c>
      <c r="J218">
        <v>996</v>
      </c>
    </row>
    <row r="219" spans="1:10" x14ac:dyDescent="0.2">
      <c r="A219" s="3" t="s">
        <v>669</v>
      </c>
      <c r="B219" s="5">
        <v>44978</v>
      </c>
      <c r="C219" s="3" t="s">
        <v>343</v>
      </c>
      <c r="D219" s="3" t="s">
        <v>661</v>
      </c>
      <c r="E219" s="3" t="str">
        <f>VLOOKUP(ventas[[#This Row],[ID Producto]],productos[#All],3,FALSE)</f>
        <v>Carnes</v>
      </c>
      <c r="F219" s="9" t="s">
        <v>15</v>
      </c>
      <c r="G219" s="3" t="s">
        <v>453</v>
      </c>
      <c r="H219">
        <v>5</v>
      </c>
      <c r="I219">
        <v>166</v>
      </c>
      <c r="J219">
        <v>83</v>
      </c>
    </row>
    <row r="220" spans="1:10" x14ac:dyDescent="0.2">
      <c r="A220" s="3" t="s">
        <v>670</v>
      </c>
      <c r="B220" s="5">
        <v>45012</v>
      </c>
      <c r="C220" s="3" t="s">
        <v>255</v>
      </c>
      <c r="D220" s="3" t="s">
        <v>661</v>
      </c>
      <c r="E220" s="3" t="str">
        <f>VLOOKUP(ventas[[#This Row],[ID Producto]],productos[#All],3,FALSE)</f>
        <v>Carnes</v>
      </c>
      <c r="F220" s="9" t="s">
        <v>9</v>
      </c>
      <c r="G220" s="3" t="s">
        <v>456</v>
      </c>
      <c r="H220">
        <v>7</v>
      </c>
      <c r="I220">
        <v>166</v>
      </c>
      <c r="J220">
        <v>1162</v>
      </c>
    </row>
    <row r="221" spans="1:10" x14ac:dyDescent="0.2">
      <c r="A221" s="3" t="s">
        <v>671</v>
      </c>
      <c r="B221" s="5">
        <v>45210</v>
      </c>
      <c r="C221" s="3" t="s">
        <v>427</v>
      </c>
      <c r="D221" s="3" t="s">
        <v>661</v>
      </c>
      <c r="E221" s="3" t="str">
        <f>VLOOKUP(ventas[[#This Row],[ID Producto]],productos[#All],3,FALSE)</f>
        <v>Carnes</v>
      </c>
      <c r="F221" s="9" t="s">
        <v>11</v>
      </c>
      <c r="G221" s="3" t="s">
        <v>453</v>
      </c>
      <c r="H221">
        <v>2</v>
      </c>
      <c r="I221">
        <v>166</v>
      </c>
      <c r="J221">
        <v>332</v>
      </c>
    </row>
    <row r="222" spans="1:10" x14ac:dyDescent="0.2">
      <c r="A222" s="3" t="s">
        <v>672</v>
      </c>
      <c r="B222" s="5">
        <v>45212</v>
      </c>
      <c r="C222" s="3" t="s">
        <v>301</v>
      </c>
      <c r="D222" s="3" t="s">
        <v>661</v>
      </c>
      <c r="E222" s="3" t="str">
        <f>VLOOKUP(ventas[[#This Row],[ID Producto]],productos[#All],3,FALSE)</f>
        <v>Carnes</v>
      </c>
      <c r="F222" s="10" t="s">
        <v>9</v>
      </c>
      <c r="G222" s="3" t="s">
        <v>456</v>
      </c>
      <c r="H222">
        <v>6</v>
      </c>
      <c r="I222">
        <v>166</v>
      </c>
      <c r="J222">
        <v>996</v>
      </c>
    </row>
    <row r="223" spans="1:10" x14ac:dyDescent="0.2">
      <c r="A223" s="3" t="s">
        <v>673</v>
      </c>
      <c r="B223" s="5">
        <v>45086</v>
      </c>
      <c r="C223" s="3" t="s">
        <v>411</v>
      </c>
      <c r="D223" s="3" t="s">
        <v>661</v>
      </c>
      <c r="E223" s="3" t="str">
        <f>VLOOKUP(ventas[[#This Row],[ID Producto]],productos[#All],3,FALSE)</f>
        <v>Carnes</v>
      </c>
      <c r="F223" s="10" t="s">
        <v>9</v>
      </c>
      <c r="G223" s="3" t="s">
        <v>463</v>
      </c>
      <c r="H223">
        <v>4</v>
      </c>
      <c r="I223">
        <v>166</v>
      </c>
      <c r="J223">
        <v>664</v>
      </c>
    </row>
    <row r="224" spans="1:10" x14ac:dyDescent="0.2">
      <c r="A224" s="3" t="s">
        <v>674</v>
      </c>
      <c r="B224" s="5">
        <v>45106</v>
      </c>
      <c r="C224" s="3" t="s">
        <v>383</v>
      </c>
      <c r="D224" s="3" t="s">
        <v>661</v>
      </c>
      <c r="E224" s="3" t="str">
        <f>VLOOKUP(ventas[[#This Row],[ID Producto]],productos[#All],3,FALSE)</f>
        <v>Carnes</v>
      </c>
      <c r="F224" s="9" t="s">
        <v>15</v>
      </c>
      <c r="G224" s="3" t="s">
        <v>456</v>
      </c>
      <c r="H224">
        <v>3</v>
      </c>
      <c r="I224">
        <v>166</v>
      </c>
      <c r="J224">
        <v>498</v>
      </c>
    </row>
    <row r="225" spans="1:10" x14ac:dyDescent="0.2">
      <c r="A225" s="3" t="s">
        <v>675</v>
      </c>
      <c r="B225" s="5">
        <v>45221</v>
      </c>
      <c r="C225" s="3" t="s">
        <v>321</v>
      </c>
      <c r="D225" s="3" t="s">
        <v>661</v>
      </c>
      <c r="E225" s="3" t="str">
        <f>VLOOKUP(ventas[[#This Row],[ID Producto]],productos[#All],3,FALSE)</f>
        <v>Carnes</v>
      </c>
      <c r="F225" s="9" t="s">
        <v>9</v>
      </c>
      <c r="G225" s="3" t="s">
        <v>456</v>
      </c>
      <c r="H225">
        <v>1</v>
      </c>
      <c r="I225">
        <v>166</v>
      </c>
      <c r="J225">
        <v>166</v>
      </c>
    </row>
    <row r="226" spans="1:10" x14ac:dyDescent="0.2">
      <c r="A226" s="3" t="s">
        <v>676</v>
      </c>
      <c r="B226" s="5">
        <v>45046</v>
      </c>
      <c r="C226" s="3" t="s">
        <v>63</v>
      </c>
      <c r="D226" s="3" t="s">
        <v>661</v>
      </c>
      <c r="E226" s="3" t="str">
        <f>VLOOKUP(ventas[[#This Row],[ID Producto]],productos[#All],3,FALSE)</f>
        <v>Carnes</v>
      </c>
      <c r="F226" s="9" t="s">
        <v>11</v>
      </c>
      <c r="G226" s="3" t="s">
        <v>456</v>
      </c>
      <c r="H226">
        <v>6</v>
      </c>
      <c r="I226">
        <v>166</v>
      </c>
      <c r="J226">
        <v>996</v>
      </c>
    </row>
    <row r="227" spans="1:10" x14ac:dyDescent="0.2">
      <c r="A227" s="3" t="s">
        <v>677</v>
      </c>
      <c r="B227" s="5">
        <v>45121</v>
      </c>
      <c r="C227" s="3" t="s">
        <v>241</v>
      </c>
      <c r="D227" s="3" t="s">
        <v>661</v>
      </c>
      <c r="E227" s="3" t="str">
        <f>VLOOKUP(ventas[[#This Row],[ID Producto]],productos[#All],3,FALSE)</f>
        <v>Carnes</v>
      </c>
      <c r="F227" s="10" t="s">
        <v>9</v>
      </c>
      <c r="G227" s="3" t="s">
        <v>463</v>
      </c>
      <c r="H227">
        <v>8</v>
      </c>
      <c r="I227">
        <v>166</v>
      </c>
      <c r="J227">
        <v>1328</v>
      </c>
    </row>
    <row r="228" spans="1:10" x14ac:dyDescent="0.2">
      <c r="A228" s="3" t="s">
        <v>678</v>
      </c>
      <c r="B228" s="5">
        <v>45156</v>
      </c>
      <c r="C228" s="3" t="s">
        <v>111</v>
      </c>
      <c r="D228" s="3" t="s">
        <v>661</v>
      </c>
      <c r="E228" s="3" t="str">
        <f>VLOOKUP(ventas[[#This Row],[ID Producto]],productos[#All],3,FALSE)</f>
        <v>Carnes</v>
      </c>
      <c r="F228" s="10" t="s">
        <v>9</v>
      </c>
      <c r="G228" s="3" t="s">
        <v>453</v>
      </c>
      <c r="H228">
        <v>6</v>
      </c>
      <c r="I228">
        <v>166</v>
      </c>
      <c r="J228">
        <v>996</v>
      </c>
    </row>
    <row r="229" spans="1:10" x14ac:dyDescent="0.2">
      <c r="A229" s="3" t="s">
        <v>679</v>
      </c>
      <c r="B229" s="5">
        <v>45042</v>
      </c>
      <c r="C229" s="3" t="s">
        <v>87</v>
      </c>
      <c r="D229" s="3" t="s">
        <v>661</v>
      </c>
      <c r="E229" s="3" t="str">
        <f>VLOOKUP(ventas[[#This Row],[ID Producto]],productos[#All],3,FALSE)</f>
        <v>Carnes</v>
      </c>
      <c r="F229" s="9" t="s">
        <v>15</v>
      </c>
      <c r="G229" s="3" t="s">
        <v>456</v>
      </c>
      <c r="H229">
        <v>1</v>
      </c>
      <c r="I229">
        <v>166</v>
      </c>
      <c r="J229">
        <v>166</v>
      </c>
    </row>
    <row r="230" spans="1:10" x14ac:dyDescent="0.2">
      <c r="A230" s="3" t="s">
        <v>680</v>
      </c>
      <c r="B230" s="5">
        <v>45249</v>
      </c>
      <c r="C230" s="3" t="s">
        <v>153</v>
      </c>
      <c r="D230" s="3" t="s">
        <v>661</v>
      </c>
      <c r="E230" s="3" t="str">
        <f>VLOOKUP(ventas[[#This Row],[ID Producto]],productos[#All],3,FALSE)</f>
        <v>Carnes</v>
      </c>
      <c r="F230" s="9" t="s">
        <v>9</v>
      </c>
      <c r="G230" s="3" t="s">
        <v>453</v>
      </c>
      <c r="H230">
        <v>4</v>
      </c>
      <c r="I230">
        <v>166</v>
      </c>
      <c r="J230">
        <v>664</v>
      </c>
    </row>
    <row r="231" spans="1:10" x14ac:dyDescent="0.2">
      <c r="A231" s="3" t="s">
        <v>681</v>
      </c>
      <c r="B231" s="5">
        <v>45076</v>
      </c>
      <c r="C231" s="3" t="s">
        <v>383</v>
      </c>
      <c r="D231" s="3" t="s">
        <v>661</v>
      </c>
      <c r="E231" s="3" t="str">
        <f>VLOOKUP(ventas[[#This Row],[ID Producto]],productos[#All],3,FALSE)</f>
        <v>Carnes</v>
      </c>
      <c r="F231" s="9" t="s">
        <v>11</v>
      </c>
      <c r="G231" s="3" t="s">
        <v>453</v>
      </c>
      <c r="H231">
        <v>9</v>
      </c>
      <c r="I231">
        <v>166</v>
      </c>
      <c r="J231">
        <v>1494</v>
      </c>
    </row>
    <row r="232" spans="1:10" x14ac:dyDescent="0.2">
      <c r="A232" s="3" t="s">
        <v>682</v>
      </c>
      <c r="B232" s="5">
        <v>45096</v>
      </c>
      <c r="C232" s="3" t="s">
        <v>393</v>
      </c>
      <c r="D232" s="3" t="s">
        <v>661</v>
      </c>
      <c r="E232" s="3" t="str">
        <f>VLOOKUP(ventas[[#This Row],[ID Producto]],productos[#All],3,FALSE)</f>
        <v>Carnes</v>
      </c>
      <c r="F232" s="10" t="s">
        <v>9</v>
      </c>
      <c r="G232" s="3" t="s">
        <v>453</v>
      </c>
      <c r="H232">
        <v>6</v>
      </c>
      <c r="I232">
        <v>166</v>
      </c>
      <c r="J232">
        <v>996</v>
      </c>
    </row>
    <row r="233" spans="1:10" x14ac:dyDescent="0.2">
      <c r="A233" s="3" t="s">
        <v>683</v>
      </c>
      <c r="B233" s="5">
        <v>45034</v>
      </c>
      <c r="C233" s="3" t="s">
        <v>155</v>
      </c>
      <c r="D233" s="3" t="s">
        <v>661</v>
      </c>
      <c r="E233" s="3" t="str">
        <f>VLOOKUP(ventas[[#This Row],[ID Producto]],productos[#All],3,FALSE)</f>
        <v>Carnes</v>
      </c>
      <c r="F233" s="10" t="s">
        <v>9</v>
      </c>
      <c r="G233" s="3" t="s">
        <v>453</v>
      </c>
      <c r="H233">
        <v>8</v>
      </c>
      <c r="I233">
        <v>166</v>
      </c>
      <c r="J233">
        <v>1328</v>
      </c>
    </row>
    <row r="234" spans="1:10" x14ac:dyDescent="0.2">
      <c r="A234" s="3" t="s">
        <v>684</v>
      </c>
      <c r="B234" s="5">
        <v>44973</v>
      </c>
      <c r="C234" s="3" t="s">
        <v>99</v>
      </c>
      <c r="D234" s="3" t="s">
        <v>661</v>
      </c>
      <c r="E234" s="3" t="str">
        <f>VLOOKUP(ventas[[#This Row],[ID Producto]],productos[#All],3,FALSE)</f>
        <v>Carnes</v>
      </c>
      <c r="F234" s="9" t="s">
        <v>15</v>
      </c>
      <c r="G234" s="3" t="s">
        <v>453</v>
      </c>
      <c r="H234">
        <v>9</v>
      </c>
      <c r="I234">
        <v>166</v>
      </c>
      <c r="J234">
        <v>1494</v>
      </c>
    </row>
    <row r="235" spans="1:10" x14ac:dyDescent="0.2">
      <c r="A235" s="3" t="s">
        <v>685</v>
      </c>
      <c r="B235" s="5">
        <v>45002</v>
      </c>
      <c r="C235" s="3" t="s">
        <v>251</v>
      </c>
      <c r="D235" s="3" t="s">
        <v>661</v>
      </c>
      <c r="E235" s="3" t="str">
        <f>VLOOKUP(ventas[[#This Row],[ID Producto]],productos[#All],3,FALSE)</f>
        <v>Carnes</v>
      </c>
      <c r="F235" s="9" t="s">
        <v>9</v>
      </c>
      <c r="G235" s="3" t="s">
        <v>453</v>
      </c>
      <c r="H235">
        <v>1</v>
      </c>
      <c r="I235">
        <v>166</v>
      </c>
      <c r="J235">
        <v>166</v>
      </c>
    </row>
    <row r="236" spans="1:10" x14ac:dyDescent="0.2">
      <c r="A236" s="3" t="s">
        <v>686</v>
      </c>
      <c r="B236" s="5">
        <v>45012</v>
      </c>
      <c r="C236" s="3" t="s">
        <v>85</v>
      </c>
      <c r="D236" s="3" t="s">
        <v>661</v>
      </c>
      <c r="E236" s="3" t="str">
        <f>VLOOKUP(ventas[[#This Row],[ID Producto]],productos[#All],3,FALSE)</f>
        <v>Carnes</v>
      </c>
      <c r="F236" s="9" t="s">
        <v>11</v>
      </c>
      <c r="G236" s="3" t="s">
        <v>463</v>
      </c>
      <c r="H236">
        <v>1</v>
      </c>
      <c r="I236">
        <v>166</v>
      </c>
      <c r="J236">
        <v>166</v>
      </c>
    </row>
    <row r="237" spans="1:10" x14ac:dyDescent="0.2">
      <c r="A237" s="3" t="s">
        <v>687</v>
      </c>
      <c r="B237" s="5">
        <v>45194</v>
      </c>
      <c r="C237" s="3" t="s">
        <v>399</v>
      </c>
      <c r="D237" s="3" t="s">
        <v>661</v>
      </c>
      <c r="E237" s="3" t="str">
        <f>VLOOKUP(ventas[[#This Row],[ID Producto]],productos[#All],3,FALSE)</f>
        <v>Carnes</v>
      </c>
      <c r="F237" s="10" t="s">
        <v>9</v>
      </c>
      <c r="G237" s="3" t="s">
        <v>463</v>
      </c>
      <c r="H237">
        <v>8</v>
      </c>
      <c r="I237">
        <v>166</v>
      </c>
      <c r="J237">
        <v>1328</v>
      </c>
    </row>
    <row r="238" spans="1:10" x14ac:dyDescent="0.2">
      <c r="A238" s="3" t="s">
        <v>688</v>
      </c>
      <c r="B238" s="5">
        <v>45175</v>
      </c>
      <c r="C238" s="3" t="s">
        <v>353</v>
      </c>
      <c r="D238" s="3" t="s">
        <v>661</v>
      </c>
      <c r="E238" s="3" t="str">
        <f>VLOOKUP(ventas[[#This Row],[ID Producto]],productos[#All],3,FALSE)</f>
        <v>Carnes</v>
      </c>
      <c r="F238" s="10" t="s">
        <v>9</v>
      </c>
      <c r="G238" s="3" t="s">
        <v>463</v>
      </c>
      <c r="H238">
        <v>1</v>
      </c>
      <c r="I238">
        <v>166</v>
      </c>
      <c r="J238">
        <v>166</v>
      </c>
    </row>
    <row r="239" spans="1:10" x14ac:dyDescent="0.2">
      <c r="A239" s="3" t="s">
        <v>689</v>
      </c>
      <c r="B239" s="5">
        <v>45159</v>
      </c>
      <c r="C239" s="3" t="s">
        <v>215</v>
      </c>
      <c r="D239" s="3" t="s">
        <v>661</v>
      </c>
      <c r="E239" s="3" t="str">
        <f>VLOOKUP(ventas[[#This Row],[ID Producto]],productos[#All],3,FALSE)</f>
        <v>Carnes</v>
      </c>
      <c r="F239" s="9" t="s">
        <v>15</v>
      </c>
      <c r="G239" s="3" t="s">
        <v>456</v>
      </c>
      <c r="H239">
        <v>6</v>
      </c>
      <c r="I239">
        <v>166</v>
      </c>
      <c r="J239">
        <v>996</v>
      </c>
    </row>
    <row r="240" spans="1:10" x14ac:dyDescent="0.2">
      <c r="A240" s="3" t="s">
        <v>690</v>
      </c>
      <c r="B240" s="5">
        <v>45210</v>
      </c>
      <c r="C240" s="3" t="s">
        <v>401</v>
      </c>
      <c r="D240" s="3" t="s">
        <v>661</v>
      </c>
      <c r="E240" s="3" t="str">
        <f>VLOOKUP(ventas[[#This Row],[ID Producto]],productos[#All],3,FALSE)</f>
        <v>Carnes</v>
      </c>
      <c r="F240" s="9" t="s">
        <v>9</v>
      </c>
      <c r="G240" s="3" t="s">
        <v>453</v>
      </c>
      <c r="H240">
        <v>8</v>
      </c>
      <c r="I240">
        <v>166</v>
      </c>
      <c r="J240">
        <v>1328</v>
      </c>
    </row>
    <row r="241" spans="1:10" x14ac:dyDescent="0.2">
      <c r="A241" s="3" t="s">
        <v>691</v>
      </c>
      <c r="B241" s="5">
        <v>45107</v>
      </c>
      <c r="C241" s="3" t="s">
        <v>333</v>
      </c>
      <c r="D241" s="3" t="s">
        <v>661</v>
      </c>
      <c r="E241" s="3" t="str">
        <f>VLOOKUP(ventas[[#This Row],[ID Producto]],productos[#All],3,FALSE)</f>
        <v>Carnes</v>
      </c>
      <c r="F241" s="9" t="s">
        <v>11</v>
      </c>
      <c r="G241" s="3" t="s">
        <v>453</v>
      </c>
      <c r="H241">
        <v>4</v>
      </c>
      <c r="I241">
        <v>166</v>
      </c>
      <c r="J241">
        <v>664</v>
      </c>
    </row>
    <row r="242" spans="1:10" x14ac:dyDescent="0.2">
      <c r="A242" s="3" t="s">
        <v>692</v>
      </c>
      <c r="B242" s="5">
        <v>45089</v>
      </c>
      <c r="C242" s="3" t="s">
        <v>421</v>
      </c>
      <c r="D242" s="3" t="s">
        <v>661</v>
      </c>
      <c r="E242" s="3" t="str">
        <f>VLOOKUP(ventas[[#This Row],[ID Producto]],productos[#All],3,FALSE)</f>
        <v>Carnes</v>
      </c>
      <c r="F242" s="10" t="s">
        <v>9</v>
      </c>
      <c r="G242" s="3" t="s">
        <v>463</v>
      </c>
      <c r="H242">
        <v>8</v>
      </c>
      <c r="I242">
        <v>166</v>
      </c>
      <c r="J242">
        <v>1328</v>
      </c>
    </row>
    <row r="243" spans="1:10" x14ac:dyDescent="0.2">
      <c r="A243" s="3" t="s">
        <v>693</v>
      </c>
      <c r="B243" s="5">
        <v>45284</v>
      </c>
      <c r="C243" s="3" t="s">
        <v>127</v>
      </c>
      <c r="D243" s="3" t="s">
        <v>661</v>
      </c>
      <c r="E243" s="3" t="str">
        <f>VLOOKUP(ventas[[#This Row],[ID Producto]],productos[#All],3,FALSE)</f>
        <v>Carnes</v>
      </c>
      <c r="F243" s="10" t="s">
        <v>9</v>
      </c>
      <c r="G243" s="3" t="s">
        <v>453</v>
      </c>
      <c r="H243">
        <v>6</v>
      </c>
      <c r="I243">
        <v>166</v>
      </c>
      <c r="J243">
        <v>996</v>
      </c>
    </row>
    <row r="244" spans="1:10" x14ac:dyDescent="0.2">
      <c r="A244" s="3" t="s">
        <v>694</v>
      </c>
      <c r="B244" s="5">
        <v>45146</v>
      </c>
      <c r="C244" s="3" t="s">
        <v>113</v>
      </c>
      <c r="D244" s="3" t="s">
        <v>661</v>
      </c>
      <c r="E244" s="3" t="str">
        <f>VLOOKUP(ventas[[#This Row],[ID Producto]],productos[#All],3,FALSE)</f>
        <v>Carnes</v>
      </c>
      <c r="F244" s="9" t="s">
        <v>15</v>
      </c>
      <c r="G244" s="3" t="s">
        <v>463</v>
      </c>
      <c r="H244">
        <v>9</v>
      </c>
      <c r="I244">
        <v>166</v>
      </c>
      <c r="J244">
        <v>1494</v>
      </c>
    </row>
    <row r="245" spans="1:10" x14ac:dyDescent="0.2">
      <c r="A245" s="3" t="s">
        <v>695</v>
      </c>
      <c r="B245" s="5">
        <v>45118</v>
      </c>
      <c r="C245" s="3" t="s">
        <v>383</v>
      </c>
      <c r="D245" s="3" t="s">
        <v>661</v>
      </c>
      <c r="E245" s="3" t="str">
        <f>VLOOKUP(ventas[[#This Row],[ID Producto]],productos[#All],3,FALSE)</f>
        <v>Carnes</v>
      </c>
      <c r="F245" s="9" t="s">
        <v>9</v>
      </c>
      <c r="G245" s="3" t="s">
        <v>453</v>
      </c>
      <c r="H245">
        <v>9</v>
      </c>
      <c r="I245">
        <v>166</v>
      </c>
      <c r="J245">
        <v>1494</v>
      </c>
    </row>
    <row r="246" spans="1:10" x14ac:dyDescent="0.2">
      <c r="A246" s="3" t="s">
        <v>696</v>
      </c>
      <c r="B246" s="5">
        <v>45194</v>
      </c>
      <c r="C246" s="3" t="s">
        <v>283</v>
      </c>
      <c r="D246" s="3" t="s">
        <v>661</v>
      </c>
      <c r="E246" s="3" t="str">
        <f>VLOOKUP(ventas[[#This Row],[ID Producto]],productos[#All],3,FALSE)</f>
        <v>Carnes</v>
      </c>
      <c r="F246" s="9" t="s">
        <v>11</v>
      </c>
      <c r="G246" s="3" t="s">
        <v>453</v>
      </c>
      <c r="H246">
        <v>8</v>
      </c>
      <c r="I246">
        <v>166</v>
      </c>
      <c r="J246">
        <v>1328</v>
      </c>
    </row>
    <row r="247" spans="1:10" x14ac:dyDescent="0.2">
      <c r="A247" s="3" t="s">
        <v>697</v>
      </c>
      <c r="B247" s="5">
        <v>45181</v>
      </c>
      <c r="C247" s="3" t="s">
        <v>397</v>
      </c>
      <c r="D247" s="3" t="s">
        <v>661</v>
      </c>
      <c r="E247" s="3" t="str">
        <f>VLOOKUP(ventas[[#This Row],[ID Producto]],productos[#All],3,FALSE)</f>
        <v>Carnes</v>
      </c>
      <c r="F247" s="10" t="s">
        <v>9</v>
      </c>
      <c r="G247" s="3" t="s">
        <v>463</v>
      </c>
      <c r="H247">
        <v>4</v>
      </c>
      <c r="I247">
        <v>166</v>
      </c>
      <c r="J247">
        <v>664</v>
      </c>
    </row>
    <row r="248" spans="1:10" x14ac:dyDescent="0.2">
      <c r="A248" s="3" t="s">
        <v>698</v>
      </c>
      <c r="B248" s="5">
        <v>45109</v>
      </c>
      <c r="C248" s="3" t="s">
        <v>417</v>
      </c>
      <c r="D248" s="3" t="s">
        <v>661</v>
      </c>
      <c r="E248" s="3" t="str">
        <f>VLOOKUP(ventas[[#This Row],[ID Producto]],productos[#All],3,FALSE)</f>
        <v>Carnes</v>
      </c>
      <c r="F248" s="10" t="s">
        <v>9</v>
      </c>
      <c r="G248" s="3" t="s">
        <v>456</v>
      </c>
      <c r="H248">
        <v>8</v>
      </c>
      <c r="I248">
        <v>166</v>
      </c>
      <c r="J248">
        <v>1328</v>
      </c>
    </row>
    <row r="249" spans="1:10" x14ac:dyDescent="0.2">
      <c r="A249" s="3" t="s">
        <v>699</v>
      </c>
      <c r="B249" s="5">
        <v>44960</v>
      </c>
      <c r="C249" s="3" t="s">
        <v>445</v>
      </c>
      <c r="D249" s="3" t="s">
        <v>661</v>
      </c>
      <c r="E249" s="3" t="str">
        <f>VLOOKUP(ventas[[#This Row],[ID Producto]],productos[#All],3,FALSE)</f>
        <v>Carnes</v>
      </c>
      <c r="F249" s="9" t="s">
        <v>15</v>
      </c>
      <c r="G249" s="3" t="s">
        <v>463</v>
      </c>
      <c r="H249">
        <v>9</v>
      </c>
      <c r="I249">
        <v>166</v>
      </c>
      <c r="J249">
        <v>1494</v>
      </c>
    </row>
    <row r="250" spans="1:10" x14ac:dyDescent="0.2">
      <c r="A250" s="3" t="s">
        <v>700</v>
      </c>
      <c r="B250" s="5">
        <v>45281</v>
      </c>
      <c r="C250" s="3" t="s">
        <v>281</v>
      </c>
      <c r="D250" s="3" t="s">
        <v>661</v>
      </c>
      <c r="E250" s="3" t="str">
        <f>VLOOKUP(ventas[[#This Row],[ID Producto]],productos[#All],3,FALSE)</f>
        <v>Carnes</v>
      </c>
      <c r="F250" s="9" t="s">
        <v>9</v>
      </c>
      <c r="G250" s="3" t="s">
        <v>463</v>
      </c>
      <c r="H250">
        <v>6</v>
      </c>
      <c r="I250">
        <v>166</v>
      </c>
      <c r="J250">
        <v>996</v>
      </c>
    </row>
    <row r="251" spans="1:10" x14ac:dyDescent="0.2">
      <c r="A251" s="3" t="s">
        <v>701</v>
      </c>
      <c r="B251" s="5">
        <v>45053</v>
      </c>
      <c r="C251" s="3" t="s">
        <v>175</v>
      </c>
      <c r="D251" s="3" t="s">
        <v>661</v>
      </c>
      <c r="E251" s="3" t="str">
        <f>VLOOKUP(ventas[[#This Row],[ID Producto]],productos[#All],3,FALSE)</f>
        <v>Carnes</v>
      </c>
      <c r="F251" s="9" t="s">
        <v>11</v>
      </c>
      <c r="G251" s="3" t="s">
        <v>453</v>
      </c>
      <c r="H251">
        <v>6</v>
      </c>
      <c r="I251">
        <v>166</v>
      </c>
      <c r="J251">
        <v>996</v>
      </c>
    </row>
    <row r="252" spans="1:10" x14ac:dyDescent="0.2">
      <c r="A252" s="3" t="s">
        <v>702</v>
      </c>
      <c r="B252" s="5">
        <v>44929</v>
      </c>
      <c r="C252" s="3" t="s">
        <v>251</v>
      </c>
      <c r="D252" s="3" t="s">
        <v>661</v>
      </c>
      <c r="E252" s="3" t="str">
        <f>VLOOKUP(ventas[[#This Row],[ID Producto]],productos[#All],3,FALSE)</f>
        <v>Carnes</v>
      </c>
      <c r="F252" s="10" t="s">
        <v>9</v>
      </c>
      <c r="G252" s="3" t="s">
        <v>456</v>
      </c>
      <c r="H252">
        <v>9</v>
      </c>
      <c r="I252">
        <v>166</v>
      </c>
      <c r="J252">
        <v>1494</v>
      </c>
    </row>
    <row r="253" spans="1:10" x14ac:dyDescent="0.2">
      <c r="A253" s="3" t="s">
        <v>703</v>
      </c>
      <c r="B253" s="5">
        <v>44968</v>
      </c>
      <c r="C253" s="3" t="s">
        <v>259</v>
      </c>
      <c r="D253" s="3" t="s">
        <v>661</v>
      </c>
      <c r="E253" s="3" t="str">
        <f>VLOOKUP(ventas[[#This Row],[ID Producto]],productos[#All],3,FALSE)</f>
        <v>Carnes</v>
      </c>
      <c r="F253" s="10" t="s">
        <v>9</v>
      </c>
      <c r="G253" s="3" t="s">
        <v>453</v>
      </c>
      <c r="H253">
        <v>2</v>
      </c>
      <c r="I253">
        <v>166</v>
      </c>
      <c r="J253">
        <v>332</v>
      </c>
    </row>
    <row r="254" spans="1:10" x14ac:dyDescent="0.2">
      <c r="A254" s="3" t="s">
        <v>704</v>
      </c>
      <c r="B254" s="5">
        <v>44988</v>
      </c>
      <c r="C254" s="3" t="s">
        <v>71</v>
      </c>
      <c r="D254" s="3" t="s">
        <v>661</v>
      </c>
      <c r="E254" s="3" t="str">
        <f>VLOOKUP(ventas[[#This Row],[ID Producto]],productos[#All],3,FALSE)</f>
        <v>Carnes</v>
      </c>
      <c r="F254" s="9" t="s">
        <v>15</v>
      </c>
      <c r="G254" s="3" t="s">
        <v>453</v>
      </c>
      <c r="H254">
        <v>8</v>
      </c>
      <c r="I254">
        <v>166</v>
      </c>
      <c r="J254">
        <v>1328</v>
      </c>
    </row>
    <row r="255" spans="1:10" x14ac:dyDescent="0.2">
      <c r="A255" s="3" t="s">
        <v>705</v>
      </c>
      <c r="B255" s="5">
        <v>45120</v>
      </c>
      <c r="C255" s="3" t="s">
        <v>329</v>
      </c>
      <c r="D255" s="3" t="s">
        <v>661</v>
      </c>
      <c r="E255" s="3" t="str">
        <f>VLOOKUP(ventas[[#This Row],[ID Producto]],productos[#All],3,FALSE)</f>
        <v>Carnes</v>
      </c>
      <c r="F255" s="9" t="s">
        <v>9</v>
      </c>
      <c r="G255" s="3" t="s">
        <v>463</v>
      </c>
      <c r="H255">
        <v>6</v>
      </c>
      <c r="I255">
        <v>166</v>
      </c>
      <c r="J255">
        <v>996</v>
      </c>
    </row>
    <row r="256" spans="1:10" x14ac:dyDescent="0.2">
      <c r="A256" s="3" t="s">
        <v>706</v>
      </c>
      <c r="B256" s="5">
        <v>45066</v>
      </c>
      <c r="C256" s="3" t="s">
        <v>211</v>
      </c>
      <c r="D256" s="3" t="s">
        <v>661</v>
      </c>
      <c r="E256" s="3" t="str">
        <f>VLOOKUP(ventas[[#This Row],[ID Producto]],productos[#All],3,FALSE)</f>
        <v>Carnes</v>
      </c>
      <c r="F256" s="9" t="s">
        <v>11</v>
      </c>
      <c r="G256" s="3" t="s">
        <v>463</v>
      </c>
      <c r="H256">
        <v>3</v>
      </c>
      <c r="I256">
        <v>166</v>
      </c>
      <c r="J256">
        <v>498</v>
      </c>
    </row>
    <row r="257" spans="1:10" x14ac:dyDescent="0.2">
      <c r="A257" s="3" t="s">
        <v>707</v>
      </c>
      <c r="B257" s="5">
        <v>45065</v>
      </c>
      <c r="C257" s="3" t="s">
        <v>165</v>
      </c>
      <c r="D257" s="3" t="s">
        <v>661</v>
      </c>
      <c r="E257" s="3" t="str">
        <f>VLOOKUP(ventas[[#This Row],[ID Producto]],productos[#All],3,FALSE)</f>
        <v>Carnes</v>
      </c>
      <c r="F257" s="10" t="s">
        <v>9</v>
      </c>
      <c r="G257" s="3" t="s">
        <v>463</v>
      </c>
      <c r="H257">
        <v>8</v>
      </c>
      <c r="I257">
        <v>166</v>
      </c>
      <c r="J257">
        <v>1328</v>
      </c>
    </row>
    <row r="258" spans="1:10" x14ac:dyDescent="0.2">
      <c r="A258" s="3" t="s">
        <v>708</v>
      </c>
      <c r="B258" s="5">
        <v>45115</v>
      </c>
      <c r="C258" s="3" t="s">
        <v>57</v>
      </c>
      <c r="D258" s="3" t="s">
        <v>709</v>
      </c>
      <c r="E258" s="3" t="str">
        <f>VLOOKUP(ventas[[#This Row],[ID Producto]],productos[#All],3,FALSE)</f>
        <v>Bebidas</v>
      </c>
      <c r="F258" s="10" t="s">
        <v>9</v>
      </c>
      <c r="G258" s="3" t="s">
        <v>463</v>
      </c>
      <c r="H258">
        <v>8</v>
      </c>
      <c r="I258">
        <v>3742</v>
      </c>
      <c r="J258">
        <v>29936</v>
      </c>
    </row>
    <row r="259" spans="1:10" x14ac:dyDescent="0.2">
      <c r="A259" s="3" t="s">
        <v>710</v>
      </c>
      <c r="B259" s="5">
        <v>44948</v>
      </c>
      <c r="C259" s="3" t="s">
        <v>237</v>
      </c>
      <c r="D259" s="3" t="s">
        <v>709</v>
      </c>
      <c r="E259" s="3" t="str">
        <f>VLOOKUP(ventas[[#This Row],[ID Producto]],productos[#All],3,FALSE)</f>
        <v>Bebidas</v>
      </c>
      <c r="F259" s="9" t="s">
        <v>15</v>
      </c>
      <c r="G259" s="3" t="s">
        <v>453</v>
      </c>
      <c r="H259">
        <v>8</v>
      </c>
      <c r="I259">
        <v>3742</v>
      </c>
      <c r="J259">
        <v>29936</v>
      </c>
    </row>
    <row r="260" spans="1:10" x14ac:dyDescent="0.2">
      <c r="A260" s="3" t="s">
        <v>711</v>
      </c>
      <c r="B260" s="5">
        <v>45191</v>
      </c>
      <c r="C260" s="3" t="s">
        <v>377</v>
      </c>
      <c r="D260" s="3" t="s">
        <v>709</v>
      </c>
      <c r="E260" s="3" t="str">
        <f>VLOOKUP(ventas[[#This Row],[ID Producto]],productos[#All],3,FALSE)</f>
        <v>Bebidas</v>
      </c>
      <c r="F260" s="9" t="s">
        <v>9</v>
      </c>
      <c r="G260" s="3" t="s">
        <v>463</v>
      </c>
      <c r="H260">
        <v>4</v>
      </c>
      <c r="I260">
        <v>3742</v>
      </c>
      <c r="J260">
        <v>14968</v>
      </c>
    </row>
    <row r="261" spans="1:10" x14ac:dyDescent="0.2">
      <c r="A261" s="3" t="s">
        <v>712</v>
      </c>
      <c r="B261" s="5">
        <v>45266</v>
      </c>
      <c r="C261" s="3" t="s">
        <v>293</v>
      </c>
      <c r="D261" s="3" t="s">
        <v>709</v>
      </c>
      <c r="E261" s="3" t="str">
        <f>VLOOKUP(ventas[[#This Row],[ID Producto]],productos[#All],3,FALSE)</f>
        <v>Bebidas</v>
      </c>
      <c r="F261" s="9" t="s">
        <v>11</v>
      </c>
      <c r="G261" s="3" t="s">
        <v>456</v>
      </c>
      <c r="H261">
        <v>4</v>
      </c>
      <c r="I261">
        <v>3742</v>
      </c>
      <c r="J261">
        <v>14968</v>
      </c>
    </row>
    <row r="262" spans="1:10" x14ac:dyDescent="0.2">
      <c r="A262" s="3" t="s">
        <v>713</v>
      </c>
      <c r="B262" s="5">
        <v>45286</v>
      </c>
      <c r="C262" s="3" t="s">
        <v>407</v>
      </c>
      <c r="D262" s="3" t="s">
        <v>709</v>
      </c>
      <c r="E262" s="3" t="str">
        <f>VLOOKUP(ventas[[#This Row],[ID Producto]],productos[#All],3,FALSE)</f>
        <v>Bebidas</v>
      </c>
      <c r="F262" s="10" t="s">
        <v>9</v>
      </c>
      <c r="G262" s="3" t="s">
        <v>463</v>
      </c>
      <c r="H262">
        <v>6</v>
      </c>
      <c r="I262">
        <v>3742</v>
      </c>
      <c r="J262">
        <v>22452</v>
      </c>
    </row>
    <row r="263" spans="1:10" x14ac:dyDescent="0.2">
      <c r="A263" s="3" t="s">
        <v>714</v>
      </c>
      <c r="B263" s="5">
        <v>45022</v>
      </c>
      <c r="C263" s="3" t="s">
        <v>157</v>
      </c>
      <c r="D263" s="3" t="s">
        <v>709</v>
      </c>
      <c r="E263" s="3" t="str">
        <f>VLOOKUP(ventas[[#This Row],[ID Producto]],productos[#All],3,FALSE)</f>
        <v>Bebidas</v>
      </c>
      <c r="F263" s="10" t="s">
        <v>9</v>
      </c>
      <c r="G263" s="3" t="s">
        <v>453</v>
      </c>
      <c r="H263">
        <v>4</v>
      </c>
      <c r="I263">
        <v>3742</v>
      </c>
      <c r="J263">
        <v>14968</v>
      </c>
    </row>
    <row r="264" spans="1:10" x14ac:dyDescent="0.2">
      <c r="A264" s="3" t="s">
        <v>715</v>
      </c>
      <c r="B264" s="5">
        <v>45244</v>
      </c>
      <c r="C264" s="3" t="s">
        <v>345</v>
      </c>
      <c r="D264" s="3" t="s">
        <v>709</v>
      </c>
      <c r="E264" s="3" t="str">
        <f>VLOOKUP(ventas[[#This Row],[ID Producto]],productos[#All],3,FALSE)</f>
        <v>Bebidas</v>
      </c>
      <c r="F264" s="9" t="s">
        <v>15</v>
      </c>
      <c r="G264" s="3" t="s">
        <v>463</v>
      </c>
      <c r="H264">
        <v>1</v>
      </c>
      <c r="I264">
        <v>3742</v>
      </c>
      <c r="J264">
        <v>3742</v>
      </c>
    </row>
    <row r="265" spans="1:10" x14ac:dyDescent="0.2">
      <c r="A265" s="3" t="s">
        <v>716</v>
      </c>
      <c r="B265" s="5">
        <v>45180</v>
      </c>
      <c r="C265" s="3" t="s">
        <v>83</v>
      </c>
      <c r="D265" s="3" t="s">
        <v>709</v>
      </c>
      <c r="E265" s="3" t="str">
        <f>VLOOKUP(ventas[[#This Row],[ID Producto]],productos[#All],3,FALSE)</f>
        <v>Bebidas</v>
      </c>
      <c r="F265" s="9" t="s">
        <v>9</v>
      </c>
      <c r="G265" s="3" t="s">
        <v>453</v>
      </c>
      <c r="H265">
        <v>3</v>
      </c>
      <c r="I265">
        <v>3742</v>
      </c>
      <c r="J265">
        <v>11226</v>
      </c>
    </row>
    <row r="266" spans="1:10" x14ac:dyDescent="0.2">
      <c r="A266" s="3" t="s">
        <v>717</v>
      </c>
      <c r="B266" s="5">
        <v>45086</v>
      </c>
      <c r="C266" s="3" t="s">
        <v>277</v>
      </c>
      <c r="D266" s="3" t="s">
        <v>709</v>
      </c>
      <c r="E266" s="3" t="str">
        <f>VLOOKUP(ventas[[#This Row],[ID Producto]],productos[#All],3,FALSE)</f>
        <v>Bebidas</v>
      </c>
      <c r="F266" s="9" t="s">
        <v>11</v>
      </c>
      <c r="G266" s="3" t="s">
        <v>456</v>
      </c>
      <c r="H266">
        <v>2</v>
      </c>
      <c r="I266">
        <v>3742</v>
      </c>
      <c r="J266">
        <v>7484</v>
      </c>
    </row>
    <row r="267" spans="1:10" x14ac:dyDescent="0.2">
      <c r="A267" s="3" t="s">
        <v>718</v>
      </c>
      <c r="B267" s="5">
        <v>45159</v>
      </c>
      <c r="C267" s="3" t="s">
        <v>435</v>
      </c>
      <c r="D267" s="3" t="s">
        <v>709</v>
      </c>
      <c r="E267" s="3" t="str">
        <f>VLOOKUP(ventas[[#This Row],[ID Producto]],productos[#All],3,FALSE)</f>
        <v>Bebidas</v>
      </c>
      <c r="F267" s="10" t="s">
        <v>9</v>
      </c>
      <c r="G267" s="3" t="s">
        <v>453</v>
      </c>
      <c r="H267">
        <v>4</v>
      </c>
      <c r="I267">
        <v>3742</v>
      </c>
      <c r="J267">
        <v>14968</v>
      </c>
    </row>
    <row r="268" spans="1:10" x14ac:dyDescent="0.2">
      <c r="A268" s="3" t="s">
        <v>719</v>
      </c>
      <c r="B268" s="5">
        <v>44980</v>
      </c>
      <c r="C268" s="3" t="s">
        <v>305</v>
      </c>
      <c r="D268" s="3" t="s">
        <v>709</v>
      </c>
      <c r="E268" s="3" t="str">
        <f>VLOOKUP(ventas[[#This Row],[ID Producto]],productos[#All],3,FALSE)</f>
        <v>Bebidas</v>
      </c>
      <c r="F268" s="10" t="s">
        <v>9</v>
      </c>
      <c r="G268" s="3" t="s">
        <v>456</v>
      </c>
      <c r="H268">
        <v>3</v>
      </c>
      <c r="I268">
        <v>3742</v>
      </c>
      <c r="J268">
        <v>11226</v>
      </c>
    </row>
    <row r="269" spans="1:10" x14ac:dyDescent="0.2">
      <c r="A269" s="3" t="s">
        <v>720</v>
      </c>
      <c r="B269" s="5">
        <v>45087</v>
      </c>
      <c r="C269" s="3" t="s">
        <v>181</v>
      </c>
      <c r="D269" s="3" t="s">
        <v>709</v>
      </c>
      <c r="E269" s="3" t="str">
        <f>VLOOKUP(ventas[[#This Row],[ID Producto]],productos[#All],3,FALSE)</f>
        <v>Bebidas</v>
      </c>
      <c r="F269" s="9" t="s">
        <v>15</v>
      </c>
      <c r="G269" s="3" t="s">
        <v>453</v>
      </c>
      <c r="H269">
        <v>7</v>
      </c>
      <c r="I269">
        <v>3742</v>
      </c>
      <c r="J269">
        <v>26194</v>
      </c>
    </row>
    <row r="270" spans="1:10" x14ac:dyDescent="0.2">
      <c r="A270" s="3" t="s">
        <v>721</v>
      </c>
      <c r="B270" s="5">
        <v>45152</v>
      </c>
      <c r="C270" s="3" t="s">
        <v>411</v>
      </c>
      <c r="D270" s="3" t="s">
        <v>709</v>
      </c>
      <c r="E270" s="3" t="str">
        <f>VLOOKUP(ventas[[#This Row],[ID Producto]],productos[#All],3,FALSE)</f>
        <v>Bebidas</v>
      </c>
      <c r="F270" s="9" t="s">
        <v>9</v>
      </c>
      <c r="G270" s="3" t="s">
        <v>463</v>
      </c>
      <c r="H270">
        <v>5</v>
      </c>
      <c r="I270">
        <v>3742</v>
      </c>
      <c r="J270">
        <v>1871</v>
      </c>
    </row>
    <row r="271" spans="1:10" x14ac:dyDescent="0.2">
      <c r="A271" s="3" t="s">
        <v>722</v>
      </c>
      <c r="B271" s="5">
        <v>44930</v>
      </c>
      <c r="C271" s="3" t="s">
        <v>349</v>
      </c>
      <c r="D271" s="3" t="s">
        <v>709</v>
      </c>
      <c r="E271" s="3" t="str">
        <f>VLOOKUP(ventas[[#This Row],[ID Producto]],productos[#All],3,FALSE)</f>
        <v>Bebidas</v>
      </c>
      <c r="F271" s="9" t="s">
        <v>11</v>
      </c>
      <c r="G271" s="3" t="s">
        <v>456</v>
      </c>
      <c r="H271">
        <v>9</v>
      </c>
      <c r="I271">
        <v>3742</v>
      </c>
      <c r="J271">
        <v>33678</v>
      </c>
    </row>
    <row r="272" spans="1:10" x14ac:dyDescent="0.2">
      <c r="A272" s="3" t="s">
        <v>723</v>
      </c>
      <c r="B272" s="5">
        <v>44943</v>
      </c>
      <c r="C272" s="3" t="s">
        <v>297</v>
      </c>
      <c r="D272" s="3" t="s">
        <v>709</v>
      </c>
      <c r="E272" s="3" t="str">
        <f>VLOOKUP(ventas[[#This Row],[ID Producto]],productos[#All],3,FALSE)</f>
        <v>Bebidas</v>
      </c>
      <c r="F272" s="10" t="s">
        <v>9</v>
      </c>
      <c r="G272" s="3" t="s">
        <v>453</v>
      </c>
      <c r="H272">
        <v>1</v>
      </c>
      <c r="I272">
        <v>3742</v>
      </c>
      <c r="J272">
        <v>3742</v>
      </c>
    </row>
    <row r="273" spans="1:10" x14ac:dyDescent="0.2">
      <c r="A273" s="3" t="s">
        <v>724</v>
      </c>
      <c r="B273" s="5">
        <v>44972</v>
      </c>
      <c r="C273" s="3" t="s">
        <v>423</v>
      </c>
      <c r="D273" s="3" t="s">
        <v>709</v>
      </c>
      <c r="E273" s="3" t="str">
        <f>VLOOKUP(ventas[[#This Row],[ID Producto]],productos[#All],3,FALSE)</f>
        <v>Bebidas</v>
      </c>
      <c r="F273" s="10" t="s">
        <v>9</v>
      </c>
      <c r="G273" s="3" t="s">
        <v>456</v>
      </c>
      <c r="H273">
        <v>6</v>
      </c>
      <c r="I273">
        <v>3742</v>
      </c>
      <c r="J273">
        <v>22452</v>
      </c>
    </row>
    <row r="274" spans="1:10" x14ac:dyDescent="0.2">
      <c r="A274" s="3" t="s">
        <v>725</v>
      </c>
      <c r="B274" s="5">
        <v>45275</v>
      </c>
      <c r="C274" s="3" t="s">
        <v>343</v>
      </c>
      <c r="D274" s="3" t="s">
        <v>709</v>
      </c>
      <c r="E274" s="3" t="str">
        <f>VLOOKUP(ventas[[#This Row],[ID Producto]],productos[#All],3,FALSE)</f>
        <v>Bebidas</v>
      </c>
      <c r="F274" s="9" t="s">
        <v>15</v>
      </c>
      <c r="G274" s="3" t="s">
        <v>456</v>
      </c>
      <c r="H274">
        <v>2</v>
      </c>
      <c r="I274">
        <v>3742</v>
      </c>
      <c r="J274">
        <v>7484</v>
      </c>
    </row>
    <row r="275" spans="1:10" x14ac:dyDescent="0.2">
      <c r="A275" s="3" t="s">
        <v>726</v>
      </c>
      <c r="B275" s="5">
        <v>45207</v>
      </c>
      <c r="C275" s="3" t="s">
        <v>219</v>
      </c>
      <c r="D275" s="3" t="s">
        <v>709</v>
      </c>
      <c r="E275" s="3" t="str">
        <f>VLOOKUP(ventas[[#This Row],[ID Producto]],productos[#All],3,FALSE)</f>
        <v>Bebidas</v>
      </c>
      <c r="F275" s="9" t="s">
        <v>9</v>
      </c>
      <c r="G275" s="3" t="s">
        <v>463</v>
      </c>
      <c r="H275">
        <v>6</v>
      </c>
      <c r="I275">
        <v>3742</v>
      </c>
      <c r="J275">
        <v>22452</v>
      </c>
    </row>
    <row r="276" spans="1:10" x14ac:dyDescent="0.2">
      <c r="A276" s="3" t="s">
        <v>727</v>
      </c>
      <c r="B276" s="5">
        <v>45106</v>
      </c>
      <c r="C276" s="3" t="s">
        <v>323</v>
      </c>
      <c r="D276" s="3" t="s">
        <v>709</v>
      </c>
      <c r="E276" s="3" t="str">
        <f>VLOOKUP(ventas[[#This Row],[ID Producto]],productos[#All],3,FALSE)</f>
        <v>Bebidas</v>
      </c>
      <c r="F276" s="9" t="s">
        <v>11</v>
      </c>
      <c r="G276" s="3" t="s">
        <v>456</v>
      </c>
      <c r="H276">
        <v>1</v>
      </c>
      <c r="I276">
        <v>3742</v>
      </c>
      <c r="J276">
        <v>3742</v>
      </c>
    </row>
    <row r="277" spans="1:10" x14ac:dyDescent="0.2">
      <c r="A277" s="3" t="s">
        <v>728</v>
      </c>
      <c r="B277" s="5">
        <v>45165</v>
      </c>
      <c r="C277" s="3" t="s">
        <v>193</v>
      </c>
      <c r="D277" s="3" t="s">
        <v>709</v>
      </c>
      <c r="E277" s="3" t="str">
        <f>VLOOKUP(ventas[[#This Row],[ID Producto]],productos[#All],3,FALSE)</f>
        <v>Bebidas</v>
      </c>
      <c r="F277" s="10" t="s">
        <v>9</v>
      </c>
      <c r="G277" s="3" t="s">
        <v>456</v>
      </c>
      <c r="H277">
        <v>4</v>
      </c>
      <c r="I277">
        <v>3742</v>
      </c>
      <c r="J277">
        <v>14968</v>
      </c>
    </row>
    <row r="278" spans="1:10" x14ac:dyDescent="0.2">
      <c r="A278" s="3" t="s">
        <v>729</v>
      </c>
      <c r="B278" s="5">
        <v>44959</v>
      </c>
      <c r="C278" s="3" t="s">
        <v>61</v>
      </c>
      <c r="D278" s="3" t="s">
        <v>709</v>
      </c>
      <c r="E278" s="3" t="str">
        <f>VLOOKUP(ventas[[#This Row],[ID Producto]],productos[#All],3,FALSE)</f>
        <v>Bebidas</v>
      </c>
      <c r="F278" s="10" t="s">
        <v>9</v>
      </c>
      <c r="G278" s="3" t="s">
        <v>463</v>
      </c>
      <c r="H278">
        <v>3</v>
      </c>
      <c r="I278">
        <v>3742</v>
      </c>
      <c r="J278">
        <v>11226</v>
      </c>
    </row>
    <row r="279" spans="1:10" x14ac:dyDescent="0.2">
      <c r="A279" s="3" t="s">
        <v>730</v>
      </c>
      <c r="B279" s="5">
        <v>45094</v>
      </c>
      <c r="C279" s="3" t="s">
        <v>211</v>
      </c>
      <c r="D279" s="3" t="s">
        <v>709</v>
      </c>
      <c r="E279" s="3" t="str">
        <f>VLOOKUP(ventas[[#This Row],[ID Producto]],productos[#All],3,FALSE)</f>
        <v>Bebidas</v>
      </c>
      <c r="F279" s="9" t="s">
        <v>15</v>
      </c>
      <c r="G279" s="3" t="s">
        <v>463</v>
      </c>
      <c r="H279">
        <v>1</v>
      </c>
      <c r="I279">
        <v>3742</v>
      </c>
      <c r="J279">
        <v>3742</v>
      </c>
    </row>
    <row r="280" spans="1:10" x14ac:dyDescent="0.2">
      <c r="A280" s="3" t="s">
        <v>731</v>
      </c>
      <c r="B280" s="5">
        <v>45211</v>
      </c>
      <c r="C280" s="3" t="s">
        <v>421</v>
      </c>
      <c r="D280" s="3" t="s">
        <v>709</v>
      </c>
      <c r="E280" s="3" t="str">
        <f>VLOOKUP(ventas[[#This Row],[ID Producto]],productos[#All],3,FALSE)</f>
        <v>Bebidas</v>
      </c>
      <c r="F280" s="9" t="s">
        <v>9</v>
      </c>
      <c r="G280" s="3" t="s">
        <v>463</v>
      </c>
      <c r="H280">
        <v>1</v>
      </c>
      <c r="I280">
        <v>3742</v>
      </c>
      <c r="J280">
        <v>3742</v>
      </c>
    </row>
    <row r="281" spans="1:10" x14ac:dyDescent="0.2">
      <c r="A281" s="3" t="s">
        <v>732</v>
      </c>
      <c r="B281" s="5">
        <v>45168</v>
      </c>
      <c r="C281" s="3" t="s">
        <v>351</v>
      </c>
      <c r="D281" s="3" t="s">
        <v>709</v>
      </c>
      <c r="E281" s="3" t="str">
        <f>VLOOKUP(ventas[[#This Row],[ID Producto]],productos[#All],3,FALSE)</f>
        <v>Bebidas</v>
      </c>
      <c r="F281" s="9" t="s">
        <v>11</v>
      </c>
      <c r="G281" s="3" t="s">
        <v>453</v>
      </c>
      <c r="H281">
        <v>1</v>
      </c>
      <c r="I281">
        <v>3742</v>
      </c>
      <c r="J281">
        <v>3742</v>
      </c>
    </row>
    <row r="282" spans="1:10" x14ac:dyDescent="0.2">
      <c r="A282" s="3" t="s">
        <v>733</v>
      </c>
      <c r="B282" s="5">
        <v>45190</v>
      </c>
      <c r="C282" s="3" t="s">
        <v>309</v>
      </c>
      <c r="D282" s="3" t="s">
        <v>709</v>
      </c>
      <c r="E282" s="3" t="str">
        <f>VLOOKUP(ventas[[#This Row],[ID Producto]],productos[#All],3,FALSE)</f>
        <v>Bebidas</v>
      </c>
      <c r="F282" s="10" t="s">
        <v>9</v>
      </c>
      <c r="G282" s="3" t="s">
        <v>463</v>
      </c>
      <c r="H282">
        <v>8</v>
      </c>
      <c r="I282">
        <v>3742</v>
      </c>
      <c r="J282">
        <v>29936</v>
      </c>
    </row>
    <row r="283" spans="1:10" x14ac:dyDescent="0.2">
      <c r="A283" s="3" t="s">
        <v>734</v>
      </c>
      <c r="B283" s="5">
        <v>45016</v>
      </c>
      <c r="C283" s="3" t="s">
        <v>389</v>
      </c>
      <c r="D283" s="3" t="s">
        <v>709</v>
      </c>
      <c r="E283" s="3" t="str">
        <f>VLOOKUP(ventas[[#This Row],[ID Producto]],productos[#All],3,FALSE)</f>
        <v>Bebidas</v>
      </c>
      <c r="F283" s="10" t="s">
        <v>9</v>
      </c>
      <c r="G283" s="3" t="s">
        <v>453</v>
      </c>
      <c r="H283">
        <v>7</v>
      </c>
      <c r="I283">
        <v>3742</v>
      </c>
      <c r="J283">
        <v>26194</v>
      </c>
    </row>
    <row r="284" spans="1:10" x14ac:dyDescent="0.2">
      <c r="A284" s="3" t="s">
        <v>735</v>
      </c>
      <c r="B284" s="5">
        <v>45143</v>
      </c>
      <c r="C284" s="3" t="s">
        <v>55</v>
      </c>
      <c r="D284" s="3" t="s">
        <v>709</v>
      </c>
      <c r="E284" s="3" t="str">
        <f>VLOOKUP(ventas[[#This Row],[ID Producto]],productos[#All],3,FALSE)</f>
        <v>Bebidas</v>
      </c>
      <c r="F284" s="9" t="s">
        <v>15</v>
      </c>
      <c r="G284" s="3" t="s">
        <v>453</v>
      </c>
      <c r="H284">
        <v>5</v>
      </c>
      <c r="I284">
        <v>3742</v>
      </c>
      <c r="J284">
        <v>1871</v>
      </c>
    </row>
    <row r="285" spans="1:10" x14ac:dyDescent="0.2">
      <c r="A285" s="3" t="s">
        <v>736</v>
      </c>
      <c r="B285" s="5">
        <v>45067</v>
      </c>
      <c r="C285" s="3" t="s">
        <v>353</v>
      </c>
      <c r="D285" s="3" t="s">
        <v>709</v>
      </c>
      <c r="E285" s="3" t="str">
        <f>VLOOKUP(ventas[[#This Row],[ID Producto]],productos[#All],3,FALSE)</f>
        <v>Bebidas</v>
      </c>
      <c r="F285" s="9" t="s">
        <v>9</v>
      </c>
      <c r="G285" s="3" t="s">
        <v>463</v>
      </c>
      <c r="H285">
        <v>6</v>
      </c>
      <c r="I285">
        <v>3742</v>
      </c>
      <c r="J285">
        <v>22452</v>
      </c>
    </row>
    <row r="286" spans="1:10" x14ac:dyDescent="0.2">
      <c r="A286" s="3" t="s">
        <v>737</v>
      </c>
      <c r="B286" s="5">
        <v>45086</v>
      </c>
      <c r="C286" s="3" t="s">
        <v>105</v>
      </c>
      <c r="D286" s="3" t="s">
        <v>709</v>
      </c>
      <c r="E286" s="3" t="str">
        <f>VLOOKUP(ventas[[#This Row],[ID Producto]],productos[#All],3,FALSE)</f>
        <v>Bebidas</v>
      </c>
      <c r="F286" s="9" t="s">
        <v>11</v>
      </c>
      <c r="G286" s="3" t="s">
        <v>456</v>
      </c>
      <c r="H286">
        <v>8</v>
      </c>
      <c r="I286">
        <v>3742</v>
      </c>
      <c r="J286">
        <v>29936</v>
      </c>
    </row>
    <row r="287" spans="1:10" x14ac:dyDescent="0.2">
      <c r="A287" s="3" t="s">
        <v>738</v>
      </c>
      <c r="B287" s="5">
        <v>45153</v>
      </c>
      <c r="C287" s="3" t="s">
        <v>421</v>
      </c>
      <c r="D287" s="3" t="s">
        <v>709</v>
      </c>
      <c r="E287" s="3" t="str">
        <f>VLOOKUP(ventas[[#This Row],[ID Producto]],productos[#All],3,FALSE)</f>
        <v>Bebidas</v>
      </c>
      <c r="F287" s="10" t="s">
        <v>9</v>
      </c>
      <c r="G287" s="3" t="s">
        <v>463</v>
      </c>
      <c r="H287">
        <v>2</v>
      </c>
      <c r="I287">
        <v>3742</v>
      </c>
      <c r="J287">
        <v>7484</v>
      </c>
    </row>
    <row r="288" spans="1:10" x14ac:dyDescent="0.2">
      <c r="A288" s="3" t="s">
        <v>739</v>
      </c>
      <c r="B288" s="5">
        <v>45048</v>
      </c>
      <c r="C288" s="3" t="s">
        <v>233</v>
      </c>
      <c r="D288" s="3" t="s">
        <v>709</v>
      </c>
      <c r="E288" s="3" t="str">
        <f>VLOOKUP(ventas[[#This Row],[ID Producto]],productos[#All],3,FALSE)</f>
        <v>Bebidas</v>
      </c>
      <c r="F288" s="10" t="s">
        <v>9</v>
      </c>
      <c r="G288" s="3" t="s">
        <v>463</v>
      </c>
      <c r="H288">
        <v>2</v>
      </c>
      <c r="I288">
        <v>3742</v>
      </c>
      <c r="J288">
        <v>7484</v>
      </c>
    </row>
    <row r="289" spans="1:10" x14ac:dyDescent="0.2">
      <c r="A289" s="3" t="s">
        <v>740</v>
      </c>
      <c r="B289" s="5">
        <v>45008</v>
      </c>
      <c r="C289" s="3" t="s">
        <v>137</v>
      </c>
      <c r="D289" s="3" t="s">
        <v>709</v>
      </c>
      <c r="E289" s="3" t="str">
        <f>VLOOKUP(ventas[[#This Row],[ID Producto]],productos[#All],3,FALSE)</f>
        <v>Bebidas</v>
      </c>
      <c r="F289" s="9" t="s">
        <v>15</v>
      </c>
      <c r="G289" s="3" t="s">
        <v>453</v>
      </c>
      <c r="H289">
        <v>3</v>
      </c>
      <c r="I289">
        <v>3742</v>
      </c>
      <c r="J289">
        <v>11226</v>
      </c>
    </row>
    <row r="290" spans="1:10" x14ac:dyDescent="0.2">
      <c r="A290" s="3" t="s">
        <v>741</v>
      </c>
      <c r="B290" s="5">
        <v>45237</v>
      </c>
      <c r="C290" s="3" t="s">
        <v>73</v>
      </c>
      <c r="D290" s="3" t="s">
        <v>709</v>
      </c>
      <c r="E290" s="3" t="str">
        <f>VLOOKUP(ventas[[#This Row],[ID Producto]],productos[#All],3,FALSE)</f>
        <v>Bebidas</v>
      </c>
      <c r="F290" s="9" t="s">
        <v>9</v>
      </c>
      <c r="G290" s="3" t="s">
        <v>456</v>
      </c>
      <c r="H290">
        <v>6</v>
      </c>
      <c r="I290">
        <v>3742</v>
      </c>
      <c r="J290">
        <v>22452</v>
      </c>
    </row>
    <row r="291" spans="1:10" x14ac:dyDescent="0.2">
      <c r="A291" s="3" t="s">
        <v>742</v>
      </c>
      <c r="B291" s="5">
        <v>44979</v>
      </c>
      <c r="C291" s="3" t="s">
        <v>431</v>
      </c>
      <c r="D291" s="3" t="s">
        <v>709</v>
      </c>
      <c r="E291" s="3" t="str">
        <f>VLOOKUP(ventas[[#This Row],[ID Producto]],productos[#All],3,FALSE)</f>
        <v>Bebidas</v>
      </c>
      <c r="F291" s="9" t="s">
        <v>11</v>
      </c>
      <c r="G291" s="3" t="s">
        <v>456</v>
      </c>
      <c r="H291">
        <v>8</v>
      </c>
      <c r="I291">
        <v>3742</v>
      </c>
      <c r="J291">
        <v>29936</v>
      </c>
    </row>
    <row r="292" spans="1:10" x14ac:dyDescent="0.2">
      <c r="A292" s="3" t="s">
        <v>743</v>
      </c>
      <c r="B292" s="5">
        <v>45232</v>
      </c>
      <c r="C292" s="3" t="s">
        <v>367</v>
      </c>
      <c r="D292" s="3" t="s">
        <v>709</v>
      </c>
      <c r="E292" s="3" t="str">
        <f>VLOOKUP(ventas[[#This Row],[ID Producto]],productos[#All],3,FALSE)</f>
        <v>Bebidas</v>
      </c>
      <c r="F292" s="10" t="s">
        <v>9</v>
      </c>
      <c r="G292" s="3" t="s">
        <v>453</v>
      </c>
      <c r="H292">
        <v>1</v>
      </c>
      <c r="I292">
        <v>3742</v>
      </c>
      <c r="J292">
        <v>3742</v>
      </c>
    </row>
    <row r="293" spans="1:10" x14ac:dyDescent="0.2">
      <c r="A293" s="3" t="s">
        <v>744</v>
      </c>
      <c r="B293" s="5">
        <v>45166</v>
      </c>
      <c r="C293" s="3" t="s">
        <v>421</v>
      </c>
      <c r="D293" s="3" t="s">
        <v>709</v>
      </c>
      <c r="E293" s="3" t="str">
        <f>VLOOKUP(ventas[[#This Row],[ID Producto]],productos[#All],3,FALSE)</f>
        <v>Bebidas</v>
      </c>
      <c r="F293" s="10" t="s">
        <v>9</v>
      </c>
      <c r="G293" s="3" t="s">
        <v>456</v>
      </c>
      <c r="H293">
        <v>4</v>
      </c>
      <c r="I293">
        <v>3742</v>
      </c>
      <c r="J293">
        <v>14968</v>
      </c>
    </row>
    <row r="294" spans="1:10" x14ac:dyDescent="0.2">
      <c r="A294" s="3" t="s">
        <v>745</v>
      </c>
      <c r="B294" s="5">
        <v>45037</v>
      </c>
      <c r="C294" s="3" t="s">
        <v>215</v>
      </c>
      <c r="D294" s="3" t="s">
        <v>709</v>
      </c>
      <c r="E294" s="3" t="str">
        <f>VLOOKUP(ventas[[#This Row],[ID Producto]],productos[#All],3,FALSE)</f>
        <v>Bebidas</v>
      </c>
      <c r="F294" s="9" t="s">
        <v>15</v>
      </c>
      <c r="G294" s="3" t="s">
        <v>453</v>
      </c>
      <c r="H294">
        <v>2</v>
      </c>
      <c r="I294">
        <v>3742</v>
      </c>
      <c r="J294">
        <v>7484</v>
      </c>
    </row>
    <row r="295" spans="1:10" x14ac:dyDescent="0.2">
      <c r="A295" s="3" t="s">
        <v>746</v>
      </c>
      <c r="B295" s="5">
        <v>45081</v>
      </c>
      <c r="C295" s="3" t="s">
        <v>373</v>
      </c>
      <c r="D295" s="3" t="s">
        <v>709</v>
      </c>
      <c r="E295" s="3" t="str">
        <f>VLOOKUP(ventas[[#This Row],[ID Producto]],productos[#All],3,FALSE)</f>
        <v>Bebidas</v>
      </c>
      <c r="F295" s="9" t="s">
        <v>9</v>
      </c>
      <c r="G295" s="3" t="s">
        <v>463</v>
      </c>
      <c r="H295">
        <v>7</v>
      </c>
      <c r="I295">
        <v>3742</v>
      </c>
      <c r="J295">
        <v>26194</v>
      </c>
    </row>
    <row r="296" spans="1:10" x14ac:dyDescent="0.2">
      <c r="A296" s="3" t="s">
        <v>747</v>
      </c>
      <c r="B296" s="5">
        <v>45004</v>
      </c>
      <c r="C296" s="3" t="s">
        <v>309</v>
      </c>
      <c r="D296" s="3" t="s">
        <v>709</v>
      </c>
      <c r="E296" s="3" t="str">
        <f>VLOOKUP(ventas[[#This Row],[ID Producto]],productos[#All],3,FALSE)</f>
        <v>Bebidas</v>
      </c>
      <c r="F296" s="9" t="s">
        <v>11</v>
      </c>
      <c r="G296" s="3" t="s">
        <v>463</v>
      </c>
      <c r="H296">
        <v>8</v>
      </c>
      <c r="I296">
        <v>3742</v>
      </c>
      <c r="J296">
        <v>29936</v>
      </c>
    </row>
    <row r="297" spans="1:10" x14ac:dyDescent="0.2">
      <c r="A297" s="3" t="s">
        <v>748</v>
      </c>
      <c r="B297" s="5">
        <v>45140</v>
      </c>
      <c r="C297" s="3" t="s">
        <v>309</v>
      </c>
      <c r="D297" s="3" t="s">
        <v>709</v>
      </c>
      <c r="E297" s="3" t="str">
        <f>VLOOKUP(ventas[[#This Row],[ID Producto]],productos[#All],3,FALSE)</f>
        <v>Bebidas</v>
      </c>
      <c r="F297" s="10" t="s">
        <v>9</v>
      </c>
      <c r="G297" s="3" t="s">
        <v>456</v>
      </c>
      <c r="H297">
        <v>9</v>
      </c>
      <c r="I297">
        <v>3742</v>
      </c>
      <c r="J297">
        <v>33678</v>
      </c>
    </row>
    <row r="298" spans="1:10" x14ac:dyDescent="0.2">
      <c r="A298" s="3" t="s">
        <v>749</v>
      </c>
      <c r="B298" s="5">
        <v>45229</v>
      </c>
      <c r="C298" s="3" t="s">
        <v>325</v>
      </c>
      <c r="D298" s="3" t="s">
        <v>709</v>
      </c>
      <c r="E298" s="3" t="str">
        <f>VLOOKUP(ventas[[#This Row],[ID Producto]],productos[#All],3,FALSE)</f>
        <v>Bebidas</v>
      </c>
      <c r="F298" s="10" t="s">
        <v>9</v>
      </c>
      <c r="G298" s="3" t="s">
        <v>456</v>
      </c>
      <c r="H298">
        <v>9</v>
      </c>
      <c r="I298">
        <v>3742</v>
      </c>
      <c r="J298">
        <v>33678</v>
      </c>
    </row>
    <row r="299" spans="1:10" x14ac:dyDescent="0.2">
      <c r="A299" s="3" t="s">
        <v>750</v>
      </c>
      <c r="B299" s="5">
        <v>45004</v>
      </c>
      <c r="C299" s="3" t="s">
        <v>211</v>
      </c>
      <c r="D299" s="3" t="s">
        <v>709</v>
      </c>
      <c r="E299" s="3" t="str">
        <f>VLOOKUP(ventas[[#This Row],[ID Producto]],productos[#All],3,FALSE)</f>
        <v>Bebidas</v>
      </c>
      <c r="F299" s="9" t="s">
        <v>15</v>
      </c>
      <c r="G299" s="3" t="s">
        <v>456</v>
      </c>
      <c r="H299">
        <v>3</v>
      </c>
      <c r="I299">
        <v>3742</v>
      </c>
      <c r="J299">
        <v>11226</v>
      </c>
    </row>
    <row r="300" spans="1:10" x14ac:dyDescent="0.2">
      <c r="A300" s="3" t="s">
        <v>751</v>
      </c>
      <c r="B300" s="5">
        <v>44954</v>
      </c>
      <c r="C300" s="3" t="s">
        <v>367</v>
      </c>
      <c r="D300" s="3" t="s">
        <v>709</v>
      </c>
      <c r="E300" s="3" t="str">
        <f>VLOOKUP(ventas[[#This Row],[ID Producto]],productos[#All],3,FALSE)</f>
        <v>Bebidas</v>
      </c>
      <c r="F300" s="9" t="s">
        <v>9</v>
      </c>
      <c r="G300" s="3" t="s">
        <v>463</v>
      </c>
      <c r="H300">
        <v>7</v>
      </c>
      <c r="I300">
        <v>3742</v>
      </c>
      <c r="J300">
        <v>26194</v>
      </c>
    </row>
    <row r="301" spans="1:10" x14ac:dyDescent="0.2">
      <c r="A301" s="3" t="s">
        <v>752</v>
      </c>
      <c r="B301" s="5">
        <v>45071</v>
      </c>
      <c r="C301" s="3" t="s">
        <v>241</v>
      </c>
      <c r="D301" s="3" t="s">
        <v>709</v>
      </c>
      <c r="E301" s="3" t="str">
        <f>VLOOKUP(ventas[[#This Row],[ID Producto]],productos[#All],3,FALSE)</f>
        <v>Bebidas</v>
      </c>
      <c r="F301" s="9" t="s">
        <v>11</v>
      </c>
      <c r="G301" s="3" t="s">
        <v>463</v>
      </c>
      <c r="H301">
        <v>4</v>
      </c>
      <c r="I301">
        <v>3742</v>
      </c>
      <c r="J301">
        <v>14968</v>
      </c>
    </row>
    <row r="302" spans="1:10" x14ac:dyDescent="0.2">
      <c r="A302" s="3" t="s">
        <v>753</v>
      </c>
      <c r="B302" s="5">
        <v>45246</v>
      </c>
      <c r="C302" s="3" t="s">
        <v>169</v>
      </c>
      <c r="D302" s="3" t="s">
        <v>709</v>
      </c>
      <c r="E302" s="3" t="str">
        <f>VLOOKUP(ventas[[#This Row],[ID Producto]],productos[#All],3,FALSE)</f>
        <v>Bebidas</v>
      </c>
      <c r="F302" s="10" t="s">
        <v>9</v>
      </c>
      <c r="G302" s="3" t="s">
        <v>456</v>
      </c>
      <c r="H302">
        <v>5</v>
      </c>
      <c r="I302">
        <v>3742</v>
      </c>
      <c r="J302">
        <v>1871</v>
      </c>
    </row>
    <row r="303" spans="1:10" x14ac:dyDescent="0.2">
      <c r="A303" s="3" t="s">
        <v>754</v>
      </c>
      <c r="B303" s="5">
        <v>44932</v>
      </c>
      <c r="C303" s="3" t="s">
        <v>301</v>
      </c>
      <c r="D303" s="3" t="s">
        <v>709</v>
      </c>
      <c r="E303" s="3" t="str">
        <f>VLOOKUP(ventas[[#This Row],[ID Producto]],productos[#All],3,FALSE)</f>
        <v>Bebidas</v>
      </c>
      <c r="F303" s="10" t="s">
        <v>9</v>
      </c>
      <c r="G303" s="3" t="s">
        <v>453</v>
      </c>
      <c r="H303">
        <v>8</v>
      </c>
      <c r="I303">
        <v>3742</v>
      </c>
      <c r="J303">
        <v>29936</v>
      </c>
    </row>
    <row r="304" spans="1:10" x14ac:dyDescent="0.2">
      <c r="A304" s="3" t="s">
        <v>755</v>
      </c>
      <c r="B304" s="5">
        <v>44947</v>
      </c>
      <c r="C304" s="3" t="s">
        <v>349</v>
      </c>
      <c r="D304" s="3" t="s">
        <v>756</v>
      </c>
      <c r="E304" s="3" t="str">
        <f>VLOOKUP(ventas[[#This Row],[ID Producto]],productos[#All],3,FALSE)</f>
        <v>Limpieza</v>
      </c>
      <c r="F304" s="9" t="s">
        <v>15</v>
      </c>
      <c r="G304" s="3" t="s">
        <v>456</v>
      </c>
      <c r="H304">
        <v>8</v>
      </c>
      <c r="I304">
        <v>4392</v>
      </c>
      <c r="J304">
        <v>35136</v>
      </c>
    </row>
    <row r="305" spans="1:10" x14ac:dyDescent="0.2">
      <c r="A305" s="3" t="s">
        <v>757</v>
      </c>
      <c r="B305" s="5">
        <v>45014</v>
      </c>
      <c r="C305" s="3" t="s">
        <v>383</v>
      </c>
      <c r="D305" s="3" t="s">
        <v>756</v>
      </c>
      <c r="E305" s="3" t="str">
        <f>VLOOKUP(ventas[[#This Row],[ID Producto]],productos[#All],3,FALSE)</f>
        <v>Limpieza</v>
      </c>
      <c r="F305" s="9" t="s">
        <v>9</v>
      </c>
      <c r="G305" s="3" t="s">
        <v>453</v>
      </c>
      <c r="H305">
        <v>4</v>
      </c>
      <c r="I305">
        <v>4392</v>
      </c>
      <c r="J305">
        <v>17568</v>
      </c>
    </row>
    <row r="306" spans="1:10" x14ac:dyDescent="0.2">
      <c r="A306" s="3" t="s">
        <v>758</v>
      </c>
      <c r="B306" s="5">
        <v>44975</v>
      </c>
      <c r="C306" s="3" t="s">
        <v>423</v>
      </c>
      <c r="D306" s="3" t="s">
        <v>756</v>
      </c>
      <c r="E306" s="3" t="str">
        <f>VLOOKUP(ventas[[#This Row],[ID Producto]],productos[#All],3,FALSE)</f>
        <v>Limpieza</v>
      </c>
      <c r="F306" s="9" t="s">
        <v>11</v>
      </c>
      <c r="G306" s="3" t="s">
        <v>463</v>
      </c>
      <c r="H306">
        <v>3</v>
      </c>
      <c r="I306">
        <v>4392</v>
      </c>
      <c r="J306">
        <v>13176</v>
      </c>
    </row>
    <row r="307" spans="1:10" x14ac:dyDescent="0.2">
      <c r="A307" s="3" t="s">
        <v>759</v>
      </c>
      <c r="B307" s="5">
        <v>45057</v>
      </c>
      <c r="C307" s="3" t="s">
        <v>347</v>
      </c>
      <c r="D307" s="3" t="s">
        <v>756</v>
      </c>
      <c r="E307" s="3" t="str">
        <f>VLOOKUP(ventas[[#This Row],[ID Producto]],productos[#All],3,FALSE)</f>
        <v>Limpieza</v>
      </c>
      <c r="F307" s="10" t="s">
        <v>9</v>
      </c>
      <c r="G307" s="3" t="s">
        <v>456</v>
      </c>
      <c r="H307">
        <v>3</v>
      </c>
      <c r="I307">
        <v>4392</v>
      </c>
      <c r="J307">
        <v>13176</v>
      </c>
    </row>
    <row r="308" spans="1:10" x14ac:dyDescent="0.2">
      <c r="A308" s="3" t="s">
        <v>760</v>
      </c>
      <c r="B308" s="5">
        <v>44980</v>
      </c>
      <c r="C308" s="3" t="s">
        <v>127</v>
      </c>
      <c r="D308" s="3" t="s">
        <v>756</v>
      </c>
      <c r="E308" s="3" t="str">
        <f>VLOOKUP(ventas[[#This Row],[ID Producto]],productos[#All],3,FALSE)</f>
        <v>Limpieza</v>
      </c>
      <c r="F308" s="10" t="s">
        <v>9</v>
      </c>
      <c r="G308" s="3" t="s">
        <v>453</v>
      </c>
      <c r="H308">
        <v>5</v>
      </c>
      <c r="I308">
        <v>4392</v>
      </c>
      <c r="J308">
        <v>2196</v>
      </c>
    </row>
    <row r="309" spans="1:10" x14ac:dyDescent="0.2">
      <c r="A309" s="3" t="s">
        <v>761</v>
      </c>
      <c r="B309" s="5">
        <v>45230</v>
      </c>
      <c r="C309" s="3" t="s">
        <v>173</v>
      </c>
      <c r="D309" s="3" t="s">
        <v>756</v>
      </c>
      <c r="E309" s="3" t="str">
        <f>VLOOKUP(ventas[[#This Row],[ID Producto]],productos[#All],3,FALSE)</f>
        <v>Limpieza</v>
      </c>
      <c r="F309" s="9" t="s">
        <v>15</v>
      </c>
      <c r="G309" s="3" t="s">
        <v>463</v>
      </c>
      <c r="H309">
        <v>5</v>
      </c>
      <c r="I309">
        <v>4392</v>
      </c>
      <c r="J309">
        <v>2196</v>
      </c>
    </row>
    <row r="310" spans="1:10" x14ac:dyDescent="0.2">
      <c r="A310" s="3" t="s">
        <v>762</v>
      </c>
      <c r="B310" s="5">
        <v>45134</v>
      </c>
      <c r="C310" s="3" t="s">
        <v>255</v>
      </c>
      <c r="D310" s="3" t="s">
        <v>756</v>
      </c>
      <c r="E310" s="3" t="str">
        <f>VLOOKUP(ventas[[#This Row],[ID Producto]],productos[#All],3,FALSE)</f>
        <v>Limpieza</v>
      </c>
      <c r="F310" s="9" t="s">
        <v>9</v>
      </c>
      <c r="G310" s="3" t="s">
        <v>456</v>
      </c>
      <c r="H310">
        <v>8</v>
      </c>
      <c r="I310">
        <v>4392</v>
      </c>
      <c r="J310">
        <v>35136</v>
      </c>
    </row>
    <row r="311" spans="1:10" x14ac:dyDescent="0.2">
      <c r="A311" s="3" t="s">
        <v>763</v>
      </c>
      <c r="B311" s="5">
        <v>45114</v>
      </c>
      <c r="C311" s="3" t="s">
        <v>317</v>
      </c>
      <c r="D311" s="3" t="s">
        <v>756</v>
      </c>
      <c r="E311" s="3" t="str">
        <f>VLOOKUP(ventas[[#This Row],[ID Producto]],productos[#All],3,FALSE)</f>
        <v>Limpieza</v>
      </c>
      <c r="F311" s="9" t="s">
        <v>11</v>
      </c>
      <c r="G311" s="3" t="s">
        <v>453</v>
      </c>
      <c r="H311">
        <v>4</v>
      </c>
      <c r="I311">
        <v>4392</v>
      </c>
      <c r="J311">
        <v>17568</v>
      </c>
    </row>
    <row r="312" spans="1:10" x14ac:dyDescent="0.2">
      <c r="A312" s="3" t="s">
        <v>764</v>
      </c>
      <c r="B312" s="5">
        <v>45227</v>
      </c>
      <c r="C312" s="3" t="s">
        <v>431</v>
      </c>
      <c r="D312" s="3" t="s">
        <v>756</v>
      </c>
      <c r="E312" s="3" t="str">
        <f>VLOOKUP(ventas[[#This Row],[ID Producto]],productos[#All],3,FALSE)</f>
        <v>Limpieza</v>
      </c>
      <c r="F312" s="10" t="s">
        <v>9</v>
      </c>
      <c r="G312" s="3" t="s">
        <v>456</v>
      </c>
      <c r="H312">
        <v>7</v>
      </c>
      <c r="I312">
        <v>4392</v>
      </c>
      <c r="J312">
        <v>30744</v>
      </c>
    </row>
    <row r="313" spans="1:10" x14ac:dyDescent="0.2">
      <c r="A313" s="3" t="s">
        <v>765</v>
      </c>
      <c r="B313" s="5">
        <v>44935</v>
      </c>
      <c r="C313" s="3" t="s">
        <v>113</v>
      </c>
      <c r="D313" s="3" t="s">
        <v>756</v>
      </c>
      <c r="E313" s="3" t="str">
        <f>VLOOKUP(ventas[[#This Row],[ID Producto]],productos[#All],3,FALSE)</f>
        <v>Limpieza</v>
      </c>
      <c r="F313" s="10" t="s">
        <v>9</v>
      </c>
      <c r="G313" s="3" t="s">
        <v>453</v>
      </c>
      <c r="H313">
        <v>5</v>
      </c>
      <c r="I313">
        <v>4392</v>
      </c>
      <c r="J313">
        <v>2196</v>
      </c>
    </row>
    <row r="314" spans="1:10" x14ac:dyDescent="0.2">
      <c r="A314" s="3" t="s">
        <v>766</v>
      </c>
      <c r="B314" s="5">
        <v>44959</v>
      </c>
      <c r="C314" s="3" t="s">
        <v>241</v>
      </c>
      <c r="D314" s="3" t="s">
        <v>756</v>
      </c>
      <c r="E314" s="3" t="str">
        <f>VLOOKUP(ventas[[#This Row],[ID Producto]],productos[#All],3,FALSE)</f>
        <v>Limpieza</v>
      </c>
      <c r="F314" s="9" t="s">
        <v>15</v>
      </c>
      <c r="G314" s="3" t="s">
        <v>463</v>
      </c>
      <c r="H314">
        <v>4</v>
      </c>
      <c r="I314">
        <v>4392</v>
      </c>
      <c r="J314">
        <v>17568</v>
      </c>
    </row>
    <row r="315" spans="1:10" x14ac:dyDescent="0.2">
      <c r="A315" s="3" t="s">
        <v>767</v>
      </c>
      <c r="B315" s="5">
        <v>45027</v>
      </c>
      <c r="C315" s="3" t="s">
        <v>319</v>
      </c>
      <c r="D315" s="3" t="s">
        <v>756</v>
      </c>
      <c r="E315" s="3" t="str">
        <f>VLOOKUP(ventas[[#This Row],[ID Producto]],productos[#All],3,FALSE)</f>
        <v>Limpieza</v>
      </c>
      <c r="F315" s="9" t="s">
        <v>9</v>
      </c>
      <c r="G315" s="3" t="s">
        <v>463</v>
      </c>
      <c r="H315">
        <v>8</v>
      </c>
      <c r="I315">
        <v>4392</v>
      </c>
      <c r="J315">
        <v>35136</v>
      </c>
    </row>
    <row r="316" spans="1:10" x14ac:dyDescent="0.2">
      <c r="A316" s="3" t="s">
        <v>768</v>
      </c>
      <c r="B316" s="5">
        <v>45086</v>
      </c>
      <c r="C316" s="3" t="s">
        <v>139</v>
      </c>
      <c r="D316" s="3" t="s">
        <v>756</v>
      </c>
      <c r="E316" s="3" t="str">
        <f>VLOOKUP(ventas[[#This Row],[ID Producto]],productos[#All],3,FALSE)</f>
        <v>Limpieza</v>
      </c>
      <c r="F316" s="9" t="s">
        <v>11</v>
      </c>
      <c r="G316" s="3" t="s">
        <v>463</v>
      </c>
      <c r="H316">
        <v>6</v>
      </c>
      <c r="I316">
        <v>4392</v>
      </c>
      <c r="J316">
        <v>26352</v>
      </c>
    </row>
    <row r="317" spans="1:10" x14ac:dyDescent="0.2">
      <c r="A317" s="3" t="s">
        <v>769</v>
      </c>
      <c r="B317" s="5">
        <v>45039</v>
      </c>
      <c r="C317" s="3" t="s">
        <v>333</v>
      </c>
      <c r="D317" s="3" t="s">
        <v>756</v>
      </c>
      <c r="E317" s="3" t="str">
        <f>VLOOKUP(ventas[[#This Row],[ID Producto]],productos[#All],3,FALSE)</f>
        <v>Limpieza</v>
      </c>
      <c r="F317" s="10" t="s">
        <v>9</v>
      </c>
      <c r="G317" s="3" t="s">
        <v>463</v>
      </c>
      <c r="H317">
        <v>1</v>
      </c>
      <c r="I317">
        <v>4392</v>
      </c>
      <c r="J317">
        <v>4392</v>
      </c>
    </row>
    <row r="318" spans="1:10" x14ac:dyDescent="0.2">
      <c r="A318" s="3" t="s">
        <v>770</v>
      </c>
      <c r="B318" s="5">
        <v>45007</v>
      </c>
      <c r="C318" s="3" t="s">
        <v>355</v>
      </c>
      <c r="D318" s="3" t="s">
        <v>756</v>
      </c>
      <c r="E318" s="3" t="str">
        <f>VLOOKUP(ventas[[#This Row],[ID Producto]],productos[#All],3,FALSE)</f>
        <v>Limpieza</v>
      </c>
      <c r="F318" s="10" t="s">
        <v>9</v>
      </c>
      <c r="G318" s="3" t="s">
        <v>453</v>
      </c>
      <c r="H318">
        <v>2</v>
      </c>
      <c r="I318">
        <v>4392</v>
      </c>
      <c r="J318">
        <v>8784</v>
      </c>
    </row>
    <row r="319" spans="1:10" x14ac:dyDescent="0.2">
      <c r="A319" s="3" t="s">
        <v>771</v>
      </c>
      <c r="B319" s="5">
        <v>45124</v>
      </c>
      <c r="C319" s="3" t="s">
        <v>263</v>
      </c>
      <c r="D319" s="3" t="s">
        <v>756</v>
      </c>
      <c r="E319" s="3" t="str">
        <f>VLOOKUP(ventas[[#This Row],[ID Producto]],productos[#All],3,FALSE)</f>
        <v>Limpieza</v>
      </c>
      <c r="F319" s="9" t="s">
        <v>15</v>
      </c>
      <c r="G319" s="3" t="s">
        <v>463</v>
      </c>
      <c r="H319">
        <v>8</v>
      </c>
      <c r="I319">
        <v>4392</v>
      </c>
      <c r="J319">
        <v>35136</v>
      </c>
    </row>
    <row r="320" spans="1:10" x14ac:dyDescent="0.2">
      <c r="A320" s="3" t="s">
        <v>772</v>
      </c>
      <c r="B320" s="5">
        <v>45181</v>
      </c>
      <c r="C320" s="3" t="s">
        <v>407</v>
      </c>
      <c r="D320" s="3" t="s">
        <v>756</v>
      </c>
      <c r="E320" s="3" t="str">
        <f>VLOOKUP(ventas[[#This Row],[ID Producto]],productos[#All],3,FALSE)</f>
        <v>Limpieza</v>
      </c>
      <c r="F320" s="9" t="s">
        <v>9</v>
      </c>
      <c r="G320" s="3" t="s">
        <v>456</v>
      </c>
      <c r="H320">
        <v>8</v>
      </c>
      <c r="I320">
        <v>4392</v>
      </c>
      <c r="J320">
        <v>35136</v>
      </c>
    </row>
    <row r="321" spans="1:10" x14ac:dyDescent="0.2">
      <c r="A321" s="3" t="s">
        <v>773</v>
      </c>
      <c r="B321" s="5">
        <v>45023</v>
      </c>
      <c r="C321" s="3" t="s">
        <v>355</v>
      </c>
      <c r="D321" s="3" t="s">
        <v>756</v>
      </c>
      <c r="E321" s="3" t="str">
        <f>VLOOKUP(ventas[[#This Row],[ID Producto]],productos[#All],3,FALSE)</f>
        <v>Limpieza</v>
      </c>
      <c r="F321" s="9" t="s">
        <v>11</v>
      </c>
      <c r="G321" s="3" t="s">
        <v>453</v>
      </c>
      <c r="H321">
        <v>8</v>
      </c>
      <c r="I321">
        <v>4392</v>
      </c>
      <c r="J321">
        <v>35136</v>
      </c>
    </row>
    <row r="322" spans="1:10" x14ac:dyDescent="0.2">
      <c r="A322" s="3" t="s">
        <v>774</v>
      </c>
      <c r="B322" s="5">
        <v>45066</v>
      </c>
      <c r="C322" s="3" t="s">
        <v>47</v>
      </c>
      <c r="D322" s="3" t="s">
        <v>756</v>
      </c>
      <c r="E322" s="3" t="str">
        <f>VLOOKUP(ventas[[#This Row],[ID Producto]],productos[#All],3,FALSE)</f>
        <v>Limpieza</v>
      </c>
      <c r="F322" s="10" t="s">
        <v>9</v>
      </c>
      <c r="G322" s="3" t="s">
        <v>463</v>
      </c>
      <c r="H322">
        <v>6</v>
      </c>
      <c r="I322">
        <v>4392</v>
      </c>
      <c r="J322">
        <v>26352</v>
      </c>
    </row>
    <row r="323" spans="1:10" x14ac:dyDescent="0.2">
      <c r="A323" s="3" t="s">
        <v>775</v>
      </c>
      <c r="B323" s="5">
        <v>45087</v>
      </c>
      <c r="C323" s="3" t="s">
        <v>361</v>
      </c>
      <c r="D323" s="3" t="s">
        <v>756</v>
      </c>
      <c r="E323" s="3" t="str">
        <f>VLOOKUP(ventas[[#This Row],[ID Producto]],productos[#All],3,FALSE)</f>
        <v>Limpieza</v>
      </c>
      <c r="F323" s="10" t="s">
        <v>9</v>
      </c>
      <c r="G323" s="3" t="s">
        <v>456</v>
      </c>
      <c r="H323">
        <v>8</v>
      </c>
      <c r="I323">
        <v>4392</v>
      </c>
      <c r="J323">
        <v>35136</v>
      </c>
    </row>
    <row r="324" spans="1:10" x14ac:dyDescent="0.2">
      <c r="A324" s="3" t="s">
        <v>776</v>
      </c>
      <c r="B324" s="5">
        <v>45084</v>
      </c>
      <c r="C324" s="3" t="s">
        <v>223</v>
      </c>
      <c r="D324" s="3" t="s">
        <v>756</v>
      </c>
      <c r="E324" s="3" t="str">
        <f>VLOOKUP(ventas[[#This Row],[ID Producto]],productos[#All],3,FALSE)</f>
        <v>Limpieza</v>
      </c>
      <c r="F324" s="9" t="s">
        <v>15</v>
      </c>
      <c r="G324" s="3" t="s">
        <v>456</v>
      </c>
      <c r="H324">
        <v>4</v>
      </c>
      <c r="I324">
        <v>4392</v>
      </c>
      <c r="J324">
        <v>17568</v>
      </c>
    </row>
    <row r="325" spans="1:10" x14ac:dyDescent="0.2">
      <c r="A325" s="3" t="s">
        <v>777</v>
      </c>
      <c r="B325" s="5">
        <v>45100</v>
      </c>
      <c r="C325" s="3" t="s">
        <v>165</v>
      </c>
      <c r="D325" s="3" t="s">
        <v>756</v>
      </c>
      <c r="E325" s="3" t="str">
        <f>VLOOKUP(ventas[[#This Row],[ID Producto]],productos[#All],3,FALSE)</f>
        <v>Limpieza</v>
      </c>
      <c r="F325" s="9" t="s">
        <v>9</v>
      </c>
      <c r="G325" s="3" t="s">
        <v>453</v>
      </c>
      <c r="H325">
        <v>4</v>
      </c>
      <c r="I325">
        <v>4392</v>
      </c>
      <c r="J325">
        <v>17568</v>
      </c>
    </row>
    <row r="326" spans="1:10" x14ac:dyDescent="0.2">
      <c r="A326" s="3" t="s">
        <v>778</v>
      </c>
      <c r="B326" s="5">
        <v>45053</v>
      </c>
      <c r="C326" s="3" t="s">
        <v>127</v>
      </c>
      <c r="D326" s="3" t="s">
        <v>756</v>
      </c>
      <c r="E326" s="3" t="str">
        <f>VLOOKUP(ventas[[#This Row],[ID Producto]],productos[#All],3,FALSE)</f>
        <v>Limpieza</v>
      </c>
      <c r="F326" s="9" t="s">
        <v>11</v>
      </c>
      <c r="G326" s="3" t="s">
        <v>456</v>
      </c>
      <c r="H326">
        <v>8</v>
      </c>
      <c r="I326">
        <v>4392</v>
      </c>
      <c r="J326">
        <v>35136</v>
      </c>
    </row>
    <row r="327" spans="1:10" x14ac:dyDescent="0.2">
      <c r="A327" s="3" t="s">
        <v>779</v>
      </c>
      <c r="B327" s="5">
        <v>45225</v>
      </c>
      <c r="C327" s="3" t="s">
        <v>91</v>
      </c>
      <c r="D327" s="3" t="s">
        <v>756</v>
      </c>
      <c r="E327" s="3" t="str">
        <f>VLOOKUP(ventas[[#This Row],[ID Producto]],productos[#All],3,FALSE)</f>
        <v>Limpieza</v>
      </c>
      <c r="F327" s="10" t="s">
        <v>9</v>
      </c>
      <c r="G327" s="3" t="s">
        <v>453</v>
      </c>
      <c r="H327">
        <v>2</v>
      </c>
      <c r="I327">
        <v>4392</v>
      </c>
      <c r="J327">
        <v>8784</v>
      </c>
    </row>
    <row r="328" spans="1:10" x14ac:dyDescent="0.2">
      <c r="A328" s="3" t="s">
        <v>780</v>
      </c>
      <c r="B328" s="5">
        <v>45232</v>
      </c>
      <c r="C328" s="3" t="s">
        <v>197</v>
      </c>
      <c r="D328" s="3" t="s">
        <v>756</v>
      </c>
      <c r="E328" s="3" t="str">
        <f>VLOOKUP(ventas[[#This Row],[ID Producto]],productos[#All],3,FALSE)</f>
        <v>Limpieza</v>
      </c>
      <c r="F328" s="10" t="s">
        <v>9</v>
      </c>
      <c r="G328" s="3" t="s">
        <v>463</v>
      </c>
      <c r="H328">
        <v>1</v>
      </c>
      <c r="I328">
        <v>4392</v>
      </c>
      <c r="J328">
        <v>4392</v>
      </c>
    </row>
    <row r="329" spans="1:10" x14ac:dyDescent="0.2">
      <c r="A329" s="3" t="s">
        <v>781</v>
      </c>
      <c r="B329" s="5">
        <v>45190</v>
      </c>
      <c r="C329" s="3" t="s">
        <v>379</v>
      </c>
      <c r="D329" s="3" t="s">
        <v>756</v>
      </c>
      <c r="E329" s="3" t="str">
        <f>VLOOKUP(ventas[[#This Row],[ID Producto]],productos[#All],3,FALSE)</f>
        <v>Limpieza</v>
      </c>
      <c r="F329" s="9" t="s">
        <v>15</v>
      </c>
      <c r="G329" s="3" t="s">
        <v>456</v>
      </c>
      <c r="H329">
        <v>2</v>
      </c>
      <c r="I329">
        <v>4392</v>
      </c>
      <c r="J329">
        <v>8784</v>
      </c>
    </row>
    <row r="330" spans="1:10" x14ac:dyDescent="0.2">
      <c r="A330" s="3" t="s">
        <v>782</v>
      </c>
      <c r="B330" s="5">
        <v>45018</v>
      </c>
      <c r="C330" s="3" t="s">
        <v>377</v>
      </c>
      <c r="D330" s="3" t="s">
        <v>756</v>
      </c>
      <c r="E330" s="3" t="str">
        <f>VLOOKUP(ventas[[#This Row],[ID Producto]],productos[#All],3,FALSE)</f>
        <v>Limpieza</v>
      </c>
      <c r="F330" s="9" t="s">
        <v>9</v>
      </c>
      <c r="G330" s="3" t="s">
        <v>456</v>
      </c>
      <c r="H330">
        <v>6</v>
      </c>
      <c r="I330">
        <v>4392</v>
      </c>
      <c r="J330">
        <v>26352</v>
      </c>
    </row>
    <row r="331" spans="1:10" x14ac:dyDescent="0.2">
      <c r="A331" s="3" t="s">
        <v>783</v>
      </c>
      <c r="B331" s="5">
        <v>45051</v>
      </c>
      <c r="C331" s="3" t="s">
        <v>315</v>
      </c>
      <c r="D331" s="3" t="s">
        <v>756</v>
      </c>
      <c r="E331" s="3" t="str">
        <f>VLOOKUP(ventas[[#This Row],[ID Producto]],productos[#All],3,FALSE)</f>
        <v>Limpieza</v>
      </c>
      <c r="F331" s="9" t="s">
        <v>11</v>
      </c>
      <c r="G331" s="3" t="s">
        <v>463</v>
      </c>
      <c r="H331">
        <v>1</v>
      </c>
      <c r="I331">
        <v>4392</v>
      </c>
      <c r="J331">
        <v>4392</v>
      </c>
    </row>
    <row r="332" spans="1:10" x14ac:dyDescent="0.2">
      <c r="A332" s="3" t="s">
        <v>784</v>
      </c>
      <c r="B332" s="5">
        <v>45197</v>
      </c>
      <c r="C332" s="3" t="s">
        <v>355</v>
      </c>
      <c r="D332" s="3" t="s">
        <v>756</v>
      </c>
      <c r="E332" s="3" t="str">
        <f>VLOOKUP(ventas[[#This Row],[ID Producto]],productos[#All],3,FALSE)</f>
        <v>Limpieza</v>
      </c>
      <c r="F332" s="10" t="s">
        <v>9</v>
      </c>
      <c r="G332" s="3" t="s">
        <v>456</v>
      </c>
      <c r="H332">
        <v>9</v>
      </c>
      <c r="I332">
        <v>4392</v>
      </c>
      <c r="J332">
        <v>39528</v>
      </c>
    </row>
    <row r="333" spans="1:10" x14ac:dyDescent="0.2">
      <c r="A333" s="3" t="s">
        <v>785</v>
      </c>
      <c r="B333" s="5">
        <v>45201</v>
      </c>
      <c r="C333" s="3" t="s">
        <v>269</v>
      </c>
      <c r="D333" s="3" t="s">
        <v>756</v>
      </c>
      <c r="E333" s="3" t="str">
        <f>VLOOKUP(ventas[[#This Row],[ID Producto]],productos[#All],3,FALSE)</f>
        <v>Limpieza</v>
      </c>
      <c r="F333" s="10" t="s">
        <v>9</v>
      </c>
      <c r="G333" s="3" t="s">
        <v>453</v>
      </c>
      <c r="H333">
        <v>1</v>
      </c>
      <c r="I333">
        <v>4392</v>
      </c>
      <c r="J333">
        <v>4392</v>
      </c>
    </row>
    <row r="334" spans="1:10" x14ac:dyDescent="0.2">
      <c r="A334" s="3" t="s">
        <v>786</v>
      </c>
      <c r="B334" s="5">
        <v>44949</v>
      </c>
      <c r="C334" s="3" t="s">
        <v>209</v>
      </c>
      <c r="D334" s="3" t="s">
        <v>756</v>
      </c>
      <c r="E334" s="3" t="str">
        <f>VLOOKUP(ventas[[#This Row],[ID Producto]],productos[#All],3,FALSE)</f>
        <v>Limpieza</v>
      </c>
      <c r="F334" s="9" t="s">
        <v>15</v>
      </c>
      <c r="G334" s="3" t="s">
        <v>463</v>
      </c>
      <c r="H334">
        <v>9</v>
      </c>
      <c r="I334">
        <v>4392</v>
      </c>
      <c r="J334">
        <v>39528</v>
      </c>
    </row>
    <row r="335" spans="1:10" x14ac:dyDescent="0.2">
      <c r="A335" s="3" t="s">
        <v>787</v>
      </c>
      <c r="B335" s="5">
        <v>45035</v>
      </c>
      <c r="C335" s="3" t="s">
        <v>193</v>
      </c>
      <c r="D335" s="3" t="s">
        <v>756</v>
      </c>
      <c r="E335" s="3" t="str">
        <f>VLOOKUP(ventas[[#This Row],[ID Producto]],productos[#All],3,FALSE)</f>
        <v>Limpieza</v>
      </c>
      <c r="F335" s="9" t="s">
        <v>9</v>
      </c>
      <c r="G335" s="3" t="s">
        <v>456</v>
      </c>
      <c r="H335">
        <v>7</v>
      </c>
      <c r="I335">
        <v>4392</v>
      </c>
      <c r="J335">
        <v>30744</v>
      </c>
    </row>
    <row r="336" spans="1:10" x14ac:dyDescent="0.2">
      <c r="A336" s="3" t="s">
        <v>788</v>
      </c>
      <c r="B336" s="5">
        <v>45272</v>
      </c>
      <c r="C336" s="3" t="s">
        <v>169</v>
      </c>
      <c r="D336" s="3" t="s">
        <v>756</v>
      </c>
      <c r="E336" s="3" t="str">
        <f>VLOOKUP(ventas[[#This Row],[ID Producto]],productos[#All],3,FALSE)</f>
        <v>Limpieza</v>
      </c>
      <c r="F336" s="9" t="s">
        <v>11</v>
      </c>
      <c r="G336" s="3" t="s">
        <v>463</v>
      </c>
      <c r="H336">
        <v>5</v>
      </c>
      <c r="I336">
        <v>4392</v>
      </c>
      <c r="J336">
        <v>2196</v>
      </c>
    </row>
    <row r="337" spans="1:10" x14ac:dyDescent="0.2">
      <c r="A337" s="3" t="s">
        <v>789</v>
      </c>
      <c r="B337" s="5">
        <v>45043</v>
      </c>
      <c r="C337" s="3" t="s">
        <v>69</v>
      </c>
      <c r="D337" s="3" t="s">
        <v>756</v>
      </c>
      <c r="E337" s="3" t="str">
        <f>VLOOKUP(ventas[[#This Row],[ID Producto]],productos[#All],3,FALSE)</f>
        <v>Limpieza</v>
      </c>
      <c r="F337" s="10" t="s">
        <v>9</v>
      </c>
      <c r="G337" s="3" t="s">
        <v>453</v>
      </c>
      <c r="H337">
        <v>6</v>
      </c>
      <c r="I337">
        <v>4392</v>
      </c>
      <c r="J337">
        <v>26352</v>
      </c>
    </row>
    <row r="338" spans="1:10" x14ac:dyDescent="0.2">
      <c r="A338" s="3" t="s">
        <v>790</v>
      </c>
      <c r="B338" s="5">
        <v>45243</v>
      </c>
      <c r="C338" s="3" t="s">
        <v>437</v>
      </c>
      <c r="D338" s="3" t="s">
        <v>756</v>
      </c>
      <c r="E338" s="3" t="str">
        <f>VLOOKUP(ventas[[#This Row],[ID Producto]],productos[#All],3,FALSE)</f>
        <v>Limpieza</v>
      </c>
      <c r="F338" s="10" t="s">
        <v>9</v>
      </c>
      <c r="G338" s="3" t="s">
        <v>456</v>
      </c>
      <c r="H338">
        <v>6</v>
      </c>
      <c r="I338">
        <v>4392</v>
      </c>
      <c r="J338">
        <v>26352</v>
      </c>
    </row>
    <row r="339" spans="1:10" x14ac:dyDescent="0.2">
      <c r="A339" s="3" t="s">
        <v>791</v>
      </c>
      <c r="B339" s="5">
        <v>45073</v>
      </c>
      <c r="C339" s="3" t="s">
        <v>295</v>
      </c>
      <c r="D339" s="3" t="s">
        <v>756</v>
      </c>
      <c r="E339" s="3" t="str">
        <f>VLOOKUP(ventas[[#This Row],[ID Producto]],productos[#All],3,FALSE)</f>
        <v>Limpieza</v>
      </c>
      <c r="F339" s="9" t="s">
        <v>15</v>
      </c>
      <c r="G339" s="3" t="s">
        <v>456</v>
      </c>
      <c r="H339">
        <v>8</v>
      </c>
      <c r="I339">
        <v>4392</v>
      </c>
      <c r="J339">
        <v>35136</v>
      </c>
    </row>
    <row r="340" spans="1:10" x14ac:dyDescent="0.2">
      <c r="A340" s="3" t="s">
        <v>792</v>
      </c>
      <c r="B340" s="5">
        <v>44938</v>
      </c>
      <c r="C340" s="3" t="s">
        <v>103</v>
      </c>
      <c r="D340" s="3" t="s">
        <v>756</v>
      </c>
      <c r="E340" s="3" t="str">
        <f>VLOOKUP(ventas[[#This Row],[ID Producto]],productos[#All],3,FALSE)</f>
        <v>Limpieza</v>
      </c>
      <c r="F340" s="9" t="s">
        <v>9</v>
      </c>
      <c r="G340" s="3" t="s">
        <v>453</v>
      </c>
      <c r="H340">
        <v>3</v>
      </c>
      <c r="I340">
        <v>4392</v>
      </c>
      <c r="J340">
        <v>13176</v>
      </c>
    </row>
    <row r="341" spans="1:10" x14ac:dyDescent="0.2">
      <c r="A341" s="3" t="s">
        <v>793</v>
      </c>
      <c r="B341" s="5">
        <v>45274</v>
      </c>
      <c r="C341" s="3" t="s">
        <v>277</v>
      </c>
      <c r="D341" s="3" t="s">
        <v>756</v>
      </c>
      <c r="E341" s="3" t="str">
        <f>VLOOKUP(ventas[[#This Row],[ID Producto]],productos[#All],3,FALSE)</f>
        <v>Limpieza</v>
      </c>
      <c r="F341" s="9" t="s">
        <v>11</v>
      </c>
      <c r="G341" s="3" t="s">
        <v>453</v>
      </c>
      <c r="H341">
        <v>1</v>
      </c>
      <c r="I341">
        <v>4392</v>
      </c>
      <c r="J341">
        <v>4392</v>
      </c>
    </row>
    <row r="342" spans="1:10" x14ac:dyDescent="0.2">
      <c r="A342" s="3" t="s">
        <v>794</v>
      </c>
      <c r="B342" s="5">
        <v>45283</v>
      </c>
      <c r="C342" s="3" t="s">
        <v>59</v>
      </c>
      <c r="D342" s="3" t="s">
        <v>756</v>
      </c>
      <c r="E342" s="3" t="str">
        <f>VLOOKUP(ventas[[#This Row],[ID Producto]],productos[#All],3,FALSE)</f>
        <v>Limpieza</v>
      </c>
      <c r="F342" s="10" t="s">
        <v>9</v>
      </c>
      <c r="G342" s="3" t="s">
        <v>453</v>
      </c>
      <c r="H342">
        <v>4</v>
      </c>
      <c r="I342">
        <v>4392</v>
      </c>
      <c r="J342">
        <v>17568</v>
      </c>
    </row>
    <row r="343" spans="1:10" x14ac:dyDescent="0.2">
      <c r="A343" s="3" t="s">
        <v>795</v>
      </c>
      <c r="B343" s="5">
        <v>45291</v>
      </c>
      <c r="C343" s="3" t="s">
        <v>61</v>
      </c>
      <c r="D343" s="3" t="s">
        <v>756</v>
      </c>
      <c r="E343" s="3" t="str">
        <f>VLOOKUP(ventas[[#This Row],[ID Producto]],productos[#All],3,FALSE)</f>
        <v>Limpieza</v>
      </c>
      <c r="F343" s="10" t="s">
        <v>9</v>
      </c>
      <c r="G343" s="3" t="s">
        <v>456</v>
      </c>
      <c r="H343">
        <v>2</v>
      </c>
      <c r="I343">
        <v>4392</v>
      </c>
      <c r="J343">
        <v>8784</v>
      </c>
    </row>
    <row r="344" spans="1:10" x14ac:dyDescent="0.2">
      <c r="A344" s="3" t="s">
        <v>796</v>
      </c>
      <c r="B344" s="5">
        <v>44998</v>
      </c>
      <c r="C344" s="3" t="s">
        <v>239</v>
      </c>
      <c r="D344" s="3" t="s">
        <v>756</v>
      </c>
      <c r="E344" s="3" t="str">
        <f>VLOOKUP(ventas[[#This Row],[ID Producto]],productos[#All],3,FALSE)</f>
        <v>Limpieza</v>
      </c>
      <c r="F344" s="9" t="s">
        <v>15</v>
      </c>
      <c r="G344" s="3" t="s">
        <v>456</v>
      </c>
      <c r="H344">
        <v>4</v>
      </c>
      <c r="I344">
        <v>4392</v>
      </c>
      <c r="J344">
        <v>17568</v>
      </c>
    </row>
    <row r="345" spans="1:10" x14ac:dyDescent="0.2">
      <c r="A345" s="3" t="s">
        <v>797</v>
      </c>
      <c r="B345" s="5">
        <v>45110</v>
      </c>
      <c r="C345" s="3" t="s">
        <v>295</v>
      </c>
      <c r="D345" s="3" t="s">
        <v>756</v>
      </c>
      <c r="E345" s="3" t="str">
        <f>VLOOKUP(ventas[[#This Row],[ID Producto]],productos[#All],3,FALSE)</f>
        <v>Limpieza</v>
      </c>
      <c r="F345" s="9" t="s">
        <v>9</v>
      </c>
      <c r="G345" s="3" t="s">
        <v>453</v>
      </c>
      <c r="H345">
        <v>5</v>
      </c>
      <c r="I345">
        <v>4392</v>
      </c>
      <c r="J345">
        <v>2196</v>
      </c>
    </row>
    <row r="346" spans="1:10" x14ac:dyDescent="0.2">
      <c r="A346" s="3" t="s">
        <v>798</v>
      </c>
      <c r="B346" s="5">
        <v>45278</v>
      </c>
      <c r="C346" s="3" t="s">
        <v>371</v>
      </c>
      <c r="D346" s="3" t="s">
        <v>756</v>
      </c>
      <c r="E346" s="3" t="str">
        <f>VLOOKUP(ventas[[#This Row],[ID Producto]],productos[#All],3,FALSE)</f>
        <v>Limpieza</v>
      </c>
      <c r="F346" s="9" t="s">
        <v>11</v>
      </c>
      <c r="G346" s="3" t="s">
        <v>456</v>
      </c>
      <c r="H346">
        <v>8</v>
      </c>
      <c r="I346">
        <v>4392</v>
      </c>
      <c r="J346">
        <v>35136</v>
      </c>
    </row>
    <row r="347" spans="1:10" x14ac:dyDescent="0.2">
      <c r="A347" s="3" t="s">
        <v>799</v>
      </c>
      <c r="B347" s="5">
        <v>45096</v>
      </c>
      <c r="C347" s="3" t="s">
        <v>167</v>
      </c>
      <c r="D347" s="3" t="s">
        <v>756</v>
      </c>
      <c r="E347" s="3" t="str">
        <f>VLOOKUP(ventas[[#This Row],[ID Producto]],productos[#All],3,FALSE)</f>
        <v>Limpieza</v>
      </c>
      <c r="F347" s="10" t="s">
        <v>9</v>
      </c>
      <c r="G347" s="3" t="s">
        <v>453</v>
      </c>
      <c r="H347">
        <v>9</v>
      </c>
      <c r="I347">
        <v>4392</v>
      </c>
      <c r="J347">
        <v>39528</v>
      </c>
    </row>
    <row r="348" spans="1:10" x14ac:dyDescent="0.2">
      <c r="A348" s="3" t="s">
        <v>800</v>
      </c>
      <c r="B348" s="5">
        <v>44982</v>
      </c>
      <c r="C348" s="3" t="s">
        <v>139</v>
      </c>
      <c r="D348" s="3" t="s">
        <v>756</v>
      </c>
      <c r="E348" s="3" t="str">
        <f>VLOOKUP(ventas[[#This Row],[ID Producto]],productos[#All],3,FALSE)</f>
        <v>Limpieza</v>
      </c>
      <c r="F348" s="10" t="s">
        <v>9</v>
      </c>
      <c r="G348" s="3" t="s">
        <v>463</v>
      </c>
      <c r="H348">
        <v>2</v>
      </c>
      <c r="I348">
        <v>4392</v>
      </c>
      <c r="J348">
        <v>8784</v>
      </c>
    </row>
    <row r="349" spans="1:10" x14ac:dyDescent="0.2">
      <c r="A349" s="3" t="s">
        <v>801</v>
      </c>
      <c r="B349" s="5">
        <v>44934</v>
      </c>
      <c r="C349" s="3" t="s">
        <v>423</v>
      </c>
      <c r="D349" s="3" t="s">
        <v>756</v>
      </c>
      <c r="E349" s="3" t="str">
        <f>VLOOKUP(ventas[[#This Row],[ID Producto]],productos[#All],3,FALSE)</f>
        <v>Limpieza</v>
      </c>
      <c r="F349" s="9" t="s">
        <v>15</v>
      </c>
      <c r="G349" s="3" t="s">
        <v>463</v>
      </c>
      <c r="H349">
        <v>3</v>
      </c>
      <c r="I349">
        <v>4392</v>
      </c>
      <c r="J349">
        <v>13176</v>
      </c>
    </row>
    <row r="350" spans="1:10" x14ac:dyDescent="0.2">
      <c r="A350" s="3" t="s">
        <v>802</v>
      </c>
      <c r="B350" s="5">
        <v>45128</v>
      </c>
      <c r="C350" s="3" t="s">
        <v>207</v>
      </c>
      <c r="D350" s="3" t="s">
        <v>756</v>
      </c>
      <c r="E350" s="3" t="str">
        <f>VLOOKUP(ventas[[#This Row],[ID Producto]],productos[#All],3,FALSE)</f>
        <v>Limpieza</v>
      </c>
      <c r="F350" s="9" t="s">
        <v>9</v>
      </c>
      <c r="G350" s="3" t="s">
        <v>453</v>
      </c>
      <c r="H350">
        <v>6</v>
      </c>
      <c r="I350">
        <v>4392</v>
      </c>
      <c r="J350">
        <v>26352</v>
      </c>
    </row>
    <row r="351" spans="1:10" x14ac:dyDescent="0.2">
      <c r="A351" s="3" t="s">
        <v>803</v>
      </c>
      <c r="B351" s="5">
        <v>45009</v>
      </c>
      <c r="C351" s="3" t="s">
        <v>333</v>
      </c>
      <c r="D351" s="3" t="s">
        <v>756</v>
      </c>
      <c r="E351" s="3" t="str">
        <f>VLOOKUP(ventas[[#This Row],[ID Producto]],productos[#All],3,FALSE)</f>
        <v>Limpieza</v>
      </c>
      <c r="F351" s="9" t="s">
        <v>11</v>
      </c>
      <c r="G351" s="3" t="s">
        <v>453</v>
      </c>
      <c r="H351">
        <v>6</v>
      </c>
      <c r="I351">
        <v>4392</v>
      </c>
      <c r="J351">
        <v>26352</v>
      </c>
    </row>
    <row r="352" spans="1:10" x14ac:dyDescent="0.2">
      <c r="A352" s="3" t="s">
        <v>804</v>
      </c>
      <c r="B352" s="5">
        <v>45124</v>
      </c>
      <c r="C352" s="3" t="s">
        <v>367</v>
      </c>
      <c r="D352" s="3" t="s">
        <v>756</v>
      </c>
      <c r="E352" s="3" t="str">
        <f>VLOOKUP(ventas[[#This Row],[ID Producto]],productos[#All],3,FALSE)</f>
        <v>Limpieza</v>
      </c>
      <c r="F352" s="10" t="s">
        <v>9</v>
      </c>
      <c r="G352" s="3" t="s">
        <v>463</v>
      </c>
      <c r="H352">
        <v>4</v>
      </c>
      <c r="I352">
        <v>4392</v>
      </c>
      <c r="J352">
        <v>17568</v>
      </c>
    </row>
    <row r="353" spans="1:10" x14ac:dyDescent="0.2">
      <c r="A353" s="3" t="s">
        <v>805</v>
      </c>
      <c r="B353" s="5">
        <v>44962</v>
      </c>
      <c r="C353" s="3" t="s">
        <v>91</v>
      </c>
      <c r="D353" s="3" t="s">
        <v>756</v>
      </c>
      <c r="E353" s="3" t="str">
        <f>VLOOKUP(ventas[[#This Row],[ID Producto]],productos[#All],3,FALSE)</f>
        <v>Limpieza</v>
      </c>
      <c r="F353" s="10" t="s">
        <v>9</v>
      </c>
      <c r="G353" s="3" t="s">
        <v>453</v>
      </c>
      <c r="H353">
        <v>8</v>
      </c>
      <c r="I353">
        <v>4392</v>
      </c>
      <c r="J353">
        <v>35136</v>
      </c>
    </row>
    <row r="354" spans="1:10" x14ac:dyDescent="0.2">
      <c r="A354" s="3" t="s">
        <v>806</v>
      </c>
      <c r="B354" s="5">
        <v>45138</v>
      </c>
      <c r="C354" s="3" t="s">
        <v>413</v>
      </c>
      <c r="D354" s="3" t="s">
        <v>756</v>
      </c>
      <c r="E354" s="3" t="str">
        <f>VLOOKUP(ventas[[#This Row],[ID Producto]],productos[#All],3,FALSE)</f>
        <v>Limpieza</v>
      </c>
      <c r="F354" s="9" t="s">
        <v>15</v>
      </c>
      <c r="G354" s="3" t="s">
        <v>456</v>
      </c>
      <c r="H354">
        <v>3</v>
      </c>
      <c r="I354">
        <v>4392</v>
      </c>
      <c r="J354">
        <v>13176</v>
      </c>
    </row>
    <row r="355" spans="1:10" x14ac:dyDescent="0.2">
      <c r="A355" s="3" t="s">
        <v>807</v>
      </c>
      <c r="B355" s="5">
        <v>45029</v>
      </c>
      <c r="C355" s="3" t="s">
        <v>323</v>
      </c>
      <c r="D355" s="3" t="s">
        <v>808</v>
      </c>
      <c r="E355" s="3" t="str">
        <f>VLOOKUP(ventas[[#This Row],[ID Producto]],productos[#All],3,FALSE)</f>
        <v>Abarrotes</v>
      </c>
      <c r="F355" s="9" t="s">
        <v>9</v>
      </c>
      <c r="G355" s="3" t="s">
        <v>456</v>
      </c>
      <c r="H355">
        <v>4</v>
      </c>
      <c r="I355">
        <v>396</v>
      </c>
      <c r="J355">
        <v>1584</v>
      </c>
    </row>
    <row r="356" spans="1:10" x14ac:dyDescent="0.2">
      <c r="A356" s="3" t="s">
        <v>809</v>
      </c>
      <c r="B356" s="5">
        <v>45078</v>
      </c>
      <c r="C356" s="3" t="s">
        <v>177</v>
      </c>
      <c r="D356" s="3" t="s">
        <v>808</v>
      </c>
      <c r="E356" s="3" t="str">
        <f>VLOOKUP(ventas[[#This Row],[ID Producto]],productos[#All],3,FALSE)</f>
        <v>Abarrotes</v>
      </c>
      <c r="F356" s="9" t="s">
        <v>11</v>
      </c>
      <c r="G356" s="3" t="s">
        <v>463</v>
      </c>
      <c r="H356">
        <v>6</v>
      </c>
      <c r="I356">
        <v>396</v>
      </c>
      <c r="J356">
        <v>2376</v>
      </c>
    </row>
    <row r="357" spans="1:10" x14ac:dyDescent="0.2">
      <c r="A357" s="3" t="s">
        <v>810</v>
      </c>
      <c r="B357" s="5">
        <v>45190</v>
      </c>
      <c r="C357" s="3" t="s">
        <v>355</v>
      </c>
      <c r="D357" s="3" t="s">
        <v>808</v>
      </c>
      <c r="E357" s="3" t="str">
        <f>VLOOKUP(ventas[[#This Row],[ID Producto]],productos[#All],3,FALSE)</f>
        <v>Abarrotes</v>
      </c>
      <c r="F357" s="10" t="s">
        <v>9</v>
      </c>
      <c r="G357" s="3" t="s">
        <v>463</v>
      </c>
      <c r="H357">
        <v>2</v>
      </c>
      <c r="I357">
        <v>396</v>
      </c>
      <c r="J357">
        <v>792</v>
      </c>
    </row>
    <row r="358" spans="1:10" x14ac:dyDescent="0.2">
      <c r="A358" s="3" t="s">
        <v>811</v>
      </c>
      <c r="B358" s="5">
        <v>45083</v>
      </c>
      <c r="C358" s="3" t="s">
        <v>447</v>
      </c>
      <c r="D358" s="3" t="s">
        <v>808</v>
      </c>
      <c r="E358" s="3" t="str">
        <f>VLOOKUP(ventas[[#This Row],[ID Producto]],productos[#All],3,FALSE)</f>
        <v>Abarrotes</v>
      </c>
      <c r="F358" s="10" t="s">
        <v>9</v>
      </c>
      <c r="G358" s="3" t="s">
        <v>453</v>
      </c>
      <c r="H358">
        <v>9</v>
      </c>
      <c r="I358">
        <v>396</v>
      </c>
      <c r="J358">
        <v>3564</v>
      </c>
    </row>
    <row r="359" spans="1:10" x14ac:dyDescent="0.2">
      <c r="A359" s="3" t="s">
        <v>812</v>
      </c>
      <c r="B359" s="5">
        <v>44941</v>
      </c>
      <c r="C359" s="3" t="s">
        <v>131</v>
      </c>
      <c r="D359" s="3" t="s">
        <v>808</v>
      </c>
      <c r="E359" s="3" t="str">
        <f>VLOOKUP(ventas[[#This Row],[ID Producto]],productos[#All],3,FALSE)</f>
        <v>Abarrotes</v>
      </c>
      <c r="F359" s="9" t="s">
        <v>15</v>
      </c>
      <c r="G359" s="3" t="s">
        <v>453</v>
      </c>
      <c r="H359">
        <v>3</v>
      </c>
      <c r="I359">
        <v>396</v>
      </c>
      <c r="J359">
        <v>1188</v>
      </c>
    </row>
    <row r="360" spans="1:10" x14ac:dyDescent="0.2">
      <c r="A360" s="3" t="s">
        <v>813</v>
      </c>
      <c r="B360" s="5">
        <v>45127</v>
      </c>
      <c r="C360" s="3" t="s">
        <v>57</v>
      </c>
      <c r="D360" s="3" t="s">
        <v>808</v>
      </c>
      <c r="E360" s="3" t="str">
        <f>VLOOKUP(ventas[[#This Row],[ID Producto]],productos[#All],3,FALSE)</f>
        <v>Abarrotes</v>
      </c>
      <c r="F360" s="9" t="s">
        <v>9</v>
      </c>
      <c r="G360" s="3" t="s">
        <v>463</v>
      </c>
      <c r="H360">
        <v>7</v>
      </c>
      <c r="I360">
        <v>396</v>
      </c>
      <c r="J360">
        <v>2772</v>
      </c>
    </row>
    <row r="361" spans="1:10" x14ac:dyDescent="0.2">
      <c r="A361" s="3" t="s">
        <v>814</v>
      </c>
      <c r="B361" s="5">
        <v>45069</v>
      </c>
      <c r="C361" s="3" t="s">
        <v>315</v>
      </c>
      <c r="D361" s="3" t="s">
        <v>808</v>
      </c>
      <c r="E361" s="3" t="str">
        <f>VLOOKUP(ventas[[#This Row],[ID Producto]],productos[#All],3,FALSE)</f>
        <v>Abarrotes</v>
      </c>
      <c r="F361" s="9" t="s">
        <v>11</v>
      </c>
      <c r="G361" s="3" t="s">
        <v>456</v>
      </c>
      <c r="H361">
        <v>4</v>
      </c>
      <c r="I361">
        <v>396</v>
      </c>
      <c r="J361">
        <v>1584</v>
      </c>
    </row>
    <row r="362" spans="1:10" x14ac:dyDescent="0.2">
      <c r="A362" s="3" t="s">
        <v>815</v>
      </c>
      <c r="B362" s="5">
        <v>44939</v>
      </c>
      <c r="C362" s="3" t="s">
        <v>227</v>
      </c>
      <c r="D362" s="3" t="s">
        <v>808</v>
      </c>
      <c r="E362" s="3" t="str">
        <f>VLOOKUP(ventas[[#This Row],[ID Producto]],productos[#All],3,FALSE)</f>
        <v>Abarrotes</v>
      </c>
      <c r="F362" s="10" t="s">
        <v>9</v>
      </c>
      <c r="G362" s="3" t="s">
        <v>463</v>
      </c>
      <c r="H362">
        <v>5</v>
      </c>
      <c r="I362">
        <v>396</v>
      </c>
      <c r="J362">
        <v>1980</v>
      </c>
    </row>
    <row r="363" spans="1:10" x14ac:dyDescent="0.2">
      <c r="A363" s="3" t="s">
        <v>816</v>
      </c>
      <c r="B363" s="5">
        <v>45039</v>
      </c>
      <c r="C363" s="3" t="s">
        <v>407</v>
      </c>
      <c r="D363" s="3" t="s">
        <v>808</v>
      </c>
      <c r="E363" s="3" t="str">
        <f>VLOOKUP(ventas[[#This Row],[ID Producto]],productos[#All],3,FALSE)</f>
        <v>Abarrotes</v>
      </c>
      <c r="F363" s="10" t="s">
        <v>9</v>
      </c>
      <c r="G363" s="3" t="s">
        <v>463</v>
      </c>
      <c r="H363">
        <v>3</v>
      </c>
      <c r="I363">
        <v>396</v>
      </c>
      <c r="J363">
        <v>1188</v>
      </c>
    </row>
    <row r="364" spans="1:10" x14ac:dyDescent="0.2">
      <c r="A364" s="3" t="s">
        <v>817</v>
      </c>
      <c r="B364" s="5">
        <v>45027</v>
      </c>
      <c r="C364" s="3" t="s">
        <v>161</v>
      </c>
      <c r="D364" s="3" t="s">
        <v>808</v>
      </c>
      <c r="E364" s="3" t="str">
        <f>VLOOKUP(ventas[[#This Row],[ID Producto]],productos[#All],3,FALSE)</f>
        <v>Abarrotes</v>
      </c>
      <c r="F364" s="9" t="s">
        <v>15</v>
      </c>
      <c r="G364" s="3" t="s">
        <v>453</v>
      </c>
      <c r="H364">
        <v>4</v>
      </c>
      <c r="I364">
        <v>396</v>
      </c>
      <c r="J364">
        <v>1584</v>
      </c>
    </row>
    <row r="365" spans="1:10" x14ac:dyDescent="0.2">
      <c r="A365" s="3" t="s">
        <v>818</v>
      </c>
      <c r="B365" s="5">
        <v>45038</v>
      </c>
      <c r="C365" s="3" t="s">
        <v>107</v>
      </c>
      <c r="D365" s="3" t="s">
        <v>808</v>
      </c>
      <c r="E365" s="3" t="str">
        <f>VLOOKUP(ventas[[#This Row],[ID Producto]],productos[#All],3,FALSE)</f>
        <v>Abarrotes</v>
      </c>
      <c r="F365" s="9" t="s">
        <v>9</v>
      </c>
      <c r="G365" s="3" t="s">
        <v>456</v>
      </c>
      <c r="H365">
        <v>8</v>
      </c>
      <c r="I365">
        <v>396</v>
      </c>
      <c r="J365">
        <v>3168</v>
      </c>
    </row>
    <row r="366" spans="1:10" x14ac:dyDescent="0.2">
      <c r="A366" s="3" t="s">
        <v>819</v>
      </c>
      <c r="B366" s="5">
        <v>45025</v>
      </c>
      <c r="C366" s="3" t="s">
        <v>273</v>
      </c>
      <c r="D366" s="3" t="s">
        <v>808</v>
      </c>
      <c r="E366" s="3" t="str">
        <f>VLOOKUP(ventas[[#This Row],[ID Producto]],productos[#All],3,FALSE)</f>
        <v>Abarrotes</v>
      </c>
      <c r="F366" s="9" t="s">
        <v>11</v>
      </c>
      <c r="G366" s="3" t="s">
        <v>456</v>
      </c>
      <c r="H366">
        <v>1</v>
      </c>
      <c r="I366">
        <v>396</v>
      </c>
      <c r="J366">
        <v>396</v>
      </c>
    </row>
    <row r="367" spans="1:10" x14ac:dyDescent="0.2">
      <c r="A367" s="3" t="s">
        <v>820</v>
      </c>
      <c r="B367" s="5">
        <v>45264</v>
      </c>
      <c r="C367" s="3" t="s">
        <v>403</v>
      </c>
      <c r="D367" s="3" t="s">
        <v>808</v>
      </c>
      <c r="E367" s="3" t="str">
        <f>VLOOKUP(ventas[[#This Row],[ID Producto]],productos[#All],3,FALSE)</f>
        <v>Abarrotes</v>
      </c>
      <c r="F367" s="10" t="s">
        <v>9</v>
      </c>
      <c r="G367" s="3" t="s">
        <v>463</v>
      </c>
      <c r="H367">
        <v>5</v>
      </c>
      <c r="I367">
        <v>396</v>
      </c>
      <c r="J367">
        <v>1980</v>
      </c>
    </row>
    <row r="368" spans="1:10" x14ac:dyDescent="0.2">
      <c r="A368" s="3" t="s">
        <v>821</v>
      </c>
      <c r="B368" s="5">
        <v>44948</v>
      </c>
      <c r="C368" s="3" t="s">
        <v>117</v>
      </c>
      <c r="D368" s="3" t="s">
        <v>808</v>
      </c>
      <c r="E368" s="3" t="str">
        <f>VLOOKUP(ventas[[#This Row],[ID Producto]],productos[#All],3,FALSE)</f>
        <v>Abarrotes</v>
      </c>
      <c r="F368" s="10" t="s">
        <v>9</v>
      </c>
      <c r="G368" s="3" t="s">
        <v>463</v>
      </c>
      <c r="H368">
        <v>7</v>
      </c>
      <c r="I368">
        <v>396</v>
      </c>
      <c r="J368">
        <v>2772</v>
      </c>
    </row>
    <row r="369" spans="1:10" x14ac:dyDescent="0.2">
      <c r="A369" s="3" t="s">
        <v>822</v>
      </c>
      <c r="B369" s="5">
        <v>45291</v>
      </c>
      <c r="C369" s="3" t="s">
        <v>287</v>
      </c>
      <c r="D369" s="3" t="s">
        <v>808</v>
      </c>
      <c r="E369" s="3" t="str">
        <f>VLOOKUP(ventas[[#This Row],[ID Producto]],productos[#All],3,FALSE)</f>
        <v>Abarrotes</v>
      </c>
      <c r="F369" s="9" t="s">
        <v>15</v>
      </c>
      <c r="G369" s="3" t="s">
        <v>463</v>
      </c>
      <c r="H369">
        <v>4</v>
      </c>
      <c r="I369">
        <v>396</v>
      </c>
      <c r="J369">
        <v>1584</v>
      </c>
    </row>
    <row r="370" spans="1:10" x14ac:dyDescent="0.2">
      <c r="A370" s="3" t="s">
        <v>823</v>
      </c>
      <c r="B370" s="5">
        <v>45146</v>
      </c>
      <c r="C370" s="3" t="s">
        <v>119</v>
      </c>
      <c r="D370" s="3" t="s">
        <v>808</v>
      </c>
      <c r="E370" s="3" t="str">
        <f>VLOOKUP(ventas[[#This Row],[ID Producto]],productos[#All],3,FALSE)</f>
        <v>Abarrotes</v>
      </c>
      <c r="F370" s="9" t="s">
        <v>9</v>
      </c>
      <c r="G370" s="3" t="s">
        <v>456</v>
      </c>
      <c r="H370">
        <v>9</v>
      </c>
      <c r="I370">
        <v>396</v>
      </c>
      <c r="J370">
        <v>3564</v>
      </c>
    </row>
    <row r="371" spans="1:10" x14ac:dyDescent="0.2">
      <c r="A371" s="3" t="s">
        <v>824</v>
      </c>
      <c r="B371" s="5">
        <v>44984</v>
      </c>
      <c r="C371" s="3" t="s">
        <v>209</v>
      </c>
      <c r="D371" s="3" t="s">
        <v>808</v>
      </c>
      <c r="E371" s="3" t="str">
        <f>VLOOKUP(ventas[[#This Row],[ID Producto]],productos[#All],3,FALSE)</f>
        <v>Abarrotes</v>
      </c>
      <c r="F371" s="9" t="s">
        <v>11</v>
      </c>
      <c r="G371" s="3" t="s">
        <v>456</v>
      </c>
      <c r="H371">
        <v>6</v>
      </c>
      <c r="I371">
        <v>396</v>
      </c>
      <c r="J371">
        <v>2376</v>
      </c>
    </row>
    <row r="372" spans="1:10" x14ac:dyDescent="0.2">
      <c r="A372" s="3" t="s">
        <v>825</v>
      </c>
      <c r="B372" s="5">
        <v>44965</v>
      </c>
      <c r="C372" s="3" t="s">
        <v>419</v>
      </c>
      <c r="D372" s="3" t="s">
        <v>808</v>
      </c>
      <c r="E372" s="3" t="str">
        <f>VLOOKUP(ventas[[#This Row],[ID Producto]],productos[#All],3,FALSE)</f>
        <v>Abarrotes</v>
      </c>
      <c r="F372" s="10" t="s">
        <v>9</v>
      </c>
      <c r="G372" s="3" t="s">
        <v>463</v>
      </c>
      <c r="H372">
        <v>7</v>
      </c>
      <c r="I372">
        <v>396</v>
      </c>
      <c r="J372">
        <v>2772</v>
      </c>
    </row>
    <row r="373" spans="1:10" x14ac:dyDescent="0.2">
      <c r="A373" s="3" t="s">
        <v>826</v>
      </c>
      <c r="B373" s="5">
        <v>45068</v>
      </c>
      <c r="C373" s="3" t="s">
        <v>115</v>
      </c>
      <c r="D373" s="3" t="s">
        <v>808</v>
      </c>
      <c r="E373" s="3" t="str">
        <f>VLOOKUP(ventas[[#This Row],[ID Producto]],productos[#All],3,FALSE)</f>
        <v>Abarrotes</v>
      </c>
      <c r="F373" s="10" t="s">
        <v>9</v>
      </c>
      <c r="G373" s="3" t="s">
        <v>463</v>
      </c>
      <c r="H373">
        <v>7</v>
      </c>
      <c r="I373">
        <v>396</v>
      </c>
      <c r="J373">
        <v>2772</v>
      </c>
    </row>
    <row r="374" spans="1:10" x14ac:dyDescent="0.2">
      <c r="A374" s="3" t="s">
        <v>827</v>
      </c>
      <c r="B374" s="5">
        <v>44984</v>
      </c>
      <c r="C374" s="3" t="s">
        <v>347</v>
      </c>
      <c r="D374" s="3" t="s">
        <v>808</v>
      </c>
      <c r="E374" s="3" t="str">
        <f>VLOOKUP(ventas[[#This Row],[ID Producto]],productos[#All],3,FALSE)</f>
        <v>Abarrotes</v>
      </c>
      <c r="F374" s="9" t="s">
        <v>15</v>
      </c>
      <c r="G374" s="3" t="s">
        <v>453</v>
      </c>
      <c r="H374">
        <v>6</v>
      </c>
      <c r="I374">
        <v>396</v>
      </c>
      <c r="J374">
        <v>2376</v>
      </c>
    </row>
    <row r="375" spans="1:10" x14ac:dyDescent="0.2">
      <c r="A375" s="3" t="s">
        <v>828</v>
      </c>
      <c r="B375" s="5">
        <v>44969</v>
      </c>
      <c r="C375" s="3" t="s">
        <v>381</v>
      </c>
      <c r="D375" s="3" t="s">
        <v>808</v>
      </c>
      <c r="E375" s="3" t="str">
        <f>VLOOKUP(ventas[[#This Row],[ID Producto]],productos[#All],3,FALSE)</f>
        <v>Abarrotes</v>
      </c>
      <c r="F375" s="9" t="s">
        <v>9</v>
      </c>
      <c r="G375" s="3" t="s">
        <v>456</v>
      </c>
      <c r="H375">
        <v>3</v>
      </c>
      <c r="I375">
        <v>396</v>
      </c>
      <c r="J375">
        <v>1188</v>
      </c>
    </row>
    <row r="376" spans="1:10" x14ac:dyDescent="0.2">
      <c r="A376" s="3" t="s">
        <v>829</v>
      </c>
      <c r="B376" s="5">
        <v>45022</v>
      </c>
      <c r="C376" s="3" t="s">
        <v>157</v>
      </c>
      <c r="D376" s="3" t="s">
        <v>808</v>
      </c>
      <c r="E376" s="3" t="str">
        <f>VLOOKUP(ventas[[#This Row],[ID Producto]],productos[#All],3,FALSE)</f>
        <v>Abarrotes</v>
      </c>
      <c r="F376" s="9" t="s">
        <v>11</v>
      </c>
      <c r="G376" s="3" t="s">
        <v>456</v>
      </c>
      <c r="H376">
        <v>8</v>
      </c>
      <c r="I376">
        <v>396</v>
      </c>
      <c r="J376">
        <v>3168</v>
      </c>
    </row>
    <row r="377" spans="1:10" x14ac:dyDescent="0.2">
      <c r="A377" s="3" t="s">
        <v>830</v>
      </c>
      <c r="B377" s="5">
        <v>45077</v>
      </c>
      <c r="C377" s="3" t="s">
        <v>115</v>
      </c>
      <c r="D377" s="3" t="s">
        <v>808</v>
      </c>
      <c r="E377" s="3" t="str">
        <f>VLOOKUP(ventas[[#This Row],[ID Producto]],productos[#All],3,FALSE)</f>
        <v>Abarrotes</v>
      </c>
      <c r="F377" s="10" t="s">
        <v>9</v>
      </c>
      <c r="G377" s="3" t="s">
        <v>463</v>
      </c>
      <c r="H377">
        <v>1</v>
      </c>
      <c r="I377">
        <v>396</v>
      </c>
      <c r="J377">
        <v>396</v>
      </c>
    </row>
    <row r="378" spans="1:10" x14ac:dyDescent="0.2">
      <c r="A378" s="3" t="s">
        <v>831</v>
      </c>
      <c r="B378" s="5">
        <v>45268</v>
      </c>
      <c r="C378" s="3" t="s">
        <v>289</v>
      </c>
      <c r="D378" s="3" t="s">
        <v>808</v>
      </c>
      <c r="E378" s="3" t="str">
        <f>VLOOKUP(ventas[[#This Row],[ID Producto]],productos[#All],3,FALSE)</f>
        <v>Abarrotes</v>
      </c>
      <c r="F378" s="10" t="s">
        <v>9</v>
      </c>
      <c r="G378" s="3" t="s">
        <v>463</v>
      </c>
      <c r="H378">
        <v>8</v>
      </c>
      <c r="I378">
        <v>396</v>
      </c>
      <c r="J378">
        <v>3168</v>
      </c>
    </row>
    <row r="379" spans="1:10" x14ac:dyDescent="0.2">
      <c r="A379" s="3" t="s">
        <v>832</v>
      </c>
      <c r="B379" s="5">
        <v>44945</v>
      </c>
      <c r="C379" s="3" t="s">
        <v>363</v>
      </c>
      <c r="D379" s="3" t="s">
        <v>808</v>
      </c>
      <c r="E379" s="3" t="str">
        <f>VLOOKUP(ventas[[#This Row],[ID Producto]],productos[#All],3,FALSE)</f>
        <v>Abarrotes</v>
      </c>
      <c r="F379" s="9" t="s">
        <v>15</v>
      </c>
      <c r="G379" s="3" t="s">
        <v>453</v>
      </c>
      <c r="H379">
        <v>3</v>
      </c>
      <c r="I379">
        <v>396</v>
      </c>
      <c r="J379">
        <v>1188</v>
      </c>
    </row>
    <row r="380" spans="1:10" x14ac:dyDescent="0.2">
      <c r="A380" s="3" t="s">
        <v>833</v>
      </c>
      <c r="B380" s="5">
        <v>44951</v>
      </c>
      <c r="C380" s="3" t="s">
        <v>427</v>
      </c>
      <c r="D380" s="3" t="s">
        <v>808</v>
      </c>
      <c r="E380" s="3" t="str">
        <f>VLOOKUP(ventas[[#This Row],[ID Producto]],productos[#All],3,FALSE)</f>
        <v>Abarrotes</v>
      </c>
      <c r="F380" s="9" t="s">
        <v>9</v>
      </c>
      <c r="G380" s="3" t="s">
        <v>463</v>
      </c>
      <c r="H380">
        <v>4</v>
      </c>
      <c r="I380">
        <v>396</v>
      </c>
      <c r="J380">
        <v>1584</v>
      </c>
    </row>
    <row r="381" spans="1:10" x14ac:dyDescent="0.2">
      <c r="A381" s="3" t="s">
        <v>834</v>
      </c>
      <c r="B381" s="5">
        <v>45077</v>
      </c>
      <c r="C381" s="3" t="s">
        <v>353</v>
      </c>
      <c r="D381" s="3" t="s">
        <v>808</v>
      </c>
      <c r="E381" s="3" t="str">
        <f>VLOOKUP(ventas[[#This Row],[ID Producto]],productos[#All],3,FALSE)</f>
        <v>Abarrotes</v>
      </c>
      <c r="F381" s="9" t="s">
        <v>11</v>
      </c>
      <c r="G381" s="3" t="s">
        <v>453</v>
      </c>
      <c r="H381">
        <v>3</v>
      </c>
      <c r="I381">
        <v>396</v>
      </c>
      <c r="J381">
        <v>1188</v>
      </c>
    </row>
    <row r="382" spans="1:10" x14ac:dyDescent="0.2">
      <c r="A382" s="3" t="s">
        <v>835</v>
      </c>
      <c r="B382" s="5">
        <v>45257</v>
      </c>
      <c r="C382" s="3" t="s">
        <v>295</v>
      </c>
      <c r="D382" s="3" t="s">
        <v>808</v>
      </c>
      <c r="E382" s="3" t="str">
        <f>VLOOKUP(ventas[[#This Row],[ID Producto]],productos[#All],3,FALSE)</f>
        <v>Abarrotes</v>
      </c>
      <c r="F382" s="10" t="s">
        <v>9</v>
      </c>
      <c r="G382" s="3" t="s">
        <v>453</v>
      </c>
      <c r="H382">
        <v>9</v>
      </c>
      <c r="I382">
        <v>396</v>
      </c>
      <c r="J382">
        <v>3564</v>
      </c>
    </row>
    <row r="383" spans="1:10" x14ac:dyDescent="0.2">
      <c r="A383" s="3" t="s">
        <v>836</v>
      </c>
      <c r="B383" s="5">
        <v>45291</v>
      </c>
      <c r="C383" s="3" t="s">
        <v>267</v>
      </c>
      <c r="D383" s="3" t="s">
        <v>808</v>
      </c>
      <c r="E383" s="3" t="str">
        <f>VLOOKUP(ventas[[#This Row],[ID Producto]],productos[#All],3,FALSE)</f>
        <v>Abarrotes</v>
      </c>
      <c r="F383" s="10" t="s">
        <v>9</v>
      </c>
      <c r="G383" s="3" t="s">
        <v>456</v>
      </c>
      <c r="H383">
        <v>8</v>
      </c>
      <c r="I383">
        <v>396</v>
      </c>
      <c r="J383">
        <v>3168</v>
      </c>
    </row>
    <row r="384" spans="1:10" x14ac:dyDescent="0.2">
      <c r="A384" s="3" t="s">
        <v>837</v>
      </c>
      <c r="B384" s="5">
        <v>45218</v>
      </c>
      <c r="C384" s="3" t="s">
        <v>57</v>
      </c>
      <c r="D384" s="3" t="s">
        <v>808</v>
      </c>
      <c r="E384" s="3" t="str">
        <f>VLOOKUP(ventas[[#This Row],[ID Producto]],productos[#All],3,FALSE)</f>
        <v>Abarrotes</v>
      </c>
      <c r="F384" s="9" t="s">
        <v>15</v>
      </c>
      <c r="G384" s="3" t="s">
        <v>463</v>
      </c>
      <c r="H384">
        <v>7</v>
      </c>
      <c r="I384">
        <v>396</v>
      </c>
      <c r="J384">
        <v>2772</v>
      </c>
    </row>
    <row r="385" spans="1:10" x14ac:dyDescent="0.2">
      <c r="A385" s="3" t="s">
        <v>838</v>
      </c>
      <c r="B385" s="5">
        <v>44984</v>
      </c>
      <c r="C385" s="3" t="s">
        <v>73</v>
      </c>
      <c r="D385" s="3" t="s">
        <v>808</v>
      </c>
      <c r="E385" s="3" t="str">
        <f>VLOOKUP(ventas[[#This Row],[ID Producto]],productos[#All],3,FALSE)</f>
        <v>Abarrotes</v>
      </c>
      <c r="F385" s="9" t="s">
        <v>9</v>
      </c>
      <c r="G385" s="3" t="s">
        <v>453</v>
      </c>
      <c r="H385">
        <v>6</v>
      </c>
      <c r="I385">
        <v>396</v>
      </c>
      <c r="J385">
        <v>2376</v>
      </c>
    </row>
    <row r="386" spans="1:10" x14ac:dyDescent="0.2">
      <c r="A386" s="3" t="s">
        <v>839</v>
      </c>
      <c r="B386" s="5">
        <v>44970</v>
      </c>
      <c r="C386" s="3" t="s">
        <v>181</v>
      </c>
      <c r="D386" s="3" t="s">
        <v>808</v>
      </c>
      <c r="E386" s="3" t="str">
        <f>VLOOKUP(ventas[[#This Row],[ID Producto]],productos[#All],3,FALSE)</f>
        <v>Abarrotes</v>
      </c>
      <c r="F386" s="9" t="s">
        <v>11</v>
      </c>
      <c r="G386" s="3" t="s">
        <v>463</v>
      </c>
      <c r="H386">
        <v>3</v>
      </c>
      <c r="I386">
        <v>396</v>
      </c>
      <c r="J386">
        <v>1188</v>
      </c>
    </row>
    <row r="387" spans="1:10" x14ac:dyDescent="0.2">
      <c r="A387" s="3" t="s">
        <v>840</v>
      </c>
      <c r="B387" s="5">
        <v>45099</v>
      </c>
      <c r="C387" s="3" t="s">
        <v>321</v>
      </c>
      <c r="D387" s="3" t="s">
        <v>808</v>
      </c>
      <c r="E387" s="3" t="str">
        <f>VLOOKUP(ventas[[#This Row],[ID Producto]],productos[#All],3,FALSE)</f>
        <v>Abarrotes</v>
      </c>
      <c r="F387" s="10" t="s">
        <v>9</v>
      </c>
      <c r="G387" s="3" t="s">
        <v>463</v>
      </c>
      <c r="H387">
        <v>2</v>
      </c>
      <c r="I387">
        <v>396</v>
      </c>
      <c r="J387">
        <v>792</v>
      </c>
    </row>
    <row r="388" spans="1:10" x14ac:dyDescent="0.2">
      <c r="A388" s="3" t="s">
        <v>841</v>
      </c>
      <c r="B388" s="5">
        <v>44931</v>
      </c>
      <c r="C388" s="3" t="s">
        <v>313</v>
      </c>
      <c r="D388" s="3" t="s">
        <v>808</v>
      </c>
      <c r="E388" s="3" t="str">
        <f>VLOOKUP(ventas[[#This Row],[ID Producto]],productos[#All],3,FALSE)</f>
        <v>Abarrotes</v>
      </c>
      <c r="F388" s="10" t="s">
        <v>9</v>
      </c>
      <c r="G388" s="3" t="s">
        <v>453</v>
      </c>
      <c r="H388">
        <v>7</v>
      </c>
      <c r="I388">
        <v>396</v>
      </c>
      <c r="J388">
        <v>2772</v>
      </c>
    </row>
    <row r="389" spans="1:10" x14ac:dyDescent="0.2">
      <c r="A389" s="3" t="s">
        <v>842</v>
      </c>
      <c r="B389" s="5">
        <v>44949</v>
      </c>
      <c r="C389" s="3" t="s">
        <v>423</v>
      </c>
      <c r="D389" s="3" t="s">
        <v>808</v>
      </c>
      <c r="E389" s="3" t="str">
        <f>VLOOKUP(ventas[[#This Row],[ID Producto]],productos[#All],3,FALSE)</f>
        <v>Abarrotes</v>
      </c>
      <c r="F389" s="9" t="s">
        <v>15</v>
      </c>
      <c r="G389" s="3" t="s">
        <v>463</v>
      </c>
      <c r="H389">
        <v>7</v>
      </c>
      <c r="I389">
        <v>396</v>
      </c>
      <c r="J389">
        <v>2772</v>
      </c>
    </row>
    <row r="390" spans="1:10" x14ac:dyDescent="0.2">
      <c r="A390" s="3" t="s">
        <v>843</v>
      </c>
      <c r="B390" s="5">
        <v>45214</v>
      </c>
      <c r="C390" s="3" t="s">
        <v>121</v>
      </c>
      <c r="D390" s="3" t="s">
        <v>808</v>
      </c>
      <c r="E390" s="3" t="str">
        <f>VLOOKUP(ventas[[#This Row],[ID Producto]],productos[#All],3,FALSE)</f>
        <v>Abarrotes</v>
      </c>
      <c r="F390" s="9" t="s">
        <v>9</v>
      </c>
      <c r="G390" s="3" t="s">
        <v>456</v>
      </c>
      <c r="H390">
        <v>6</v>
      </c>
      <c r="I390">
        <v>396</v>
      </c>
      <c r="J390">
        <v>2376</v>
      </c>
    </row>
    <row r="391" spans="1:10" x14ac:dyDescent="0.2">
      <c r="A391" s="3" t="s">
        <v>844</v>
      </c>
      <c r="B391" s="5">
        <v>45232</v>
      </c>
      <c r="C391" s="3" t="s">
        <v>323</v>
      </c>
      <c r="D391" s="3" t="s">
        <v>808</v>
      </c>
      <c r="E391" s="3" t="str">
        <f>VLOOKUP(ventas[[#This Row],[ID Producto]],productos[#All],3,FALSE)</f>
        <v>Abarrotes</v>
      </c>
      <c r="F391" s="9" t="s">
        <v>11</v>
      </c>
      <c r="G391" s="3" t="s">
        <v>456</v>
      </c>
      <c r="H391">
        <v>7</v>
      </c>
      <c r="I391">
        <v>396</v>
      </c>
      <c r="J391">
        <v>2772</v>
      </c>
    </row>
    <row r="392" spans="1:10" x14ac:dyDescent="0.2">
      <c r="A392" s="3" t="s">
        <v>845</v>
      </c>
      <c r="B392" s="5">
        <v>45148</v>
      </c>
      <c r="C392" s="3" t="s">
        <v>287</v>
      </c>
      <c r="D392" s="3" t="s">
        <v>808</v>
      </c>
      <c r="E392" s="3" t="str">
        <f>VLOOKUP(ventas[[#This Row],[ID Producto]],productos[#All],3,FALSE)</f>
        <v>Abarrotes</v>
      </c>
      <c r="F392" s="10" t="s">
        <v>9</v>
      </c>
      <c r="G392" s="3" t="s">
        <v>463</v>
      </c>
      <c r="H392">
        <v>8</v>
      </c>
      <c r="I392">
        <v>396</v>
      </c>
      <c r="J392">
        <v>3168</v>
      </c>
    </row>
    <row r="393" spans="1:10" x14ac:dyDescent="0.2">
      <c r="A393" s="3" t="s">
        <v>846</v>
      </c>
      <c r="B393" s="5">
        <v>45229</v>
      </c>
      <c r="C393" s="3" t="s">
        <v>105</v>
      </c>
      <c r="D393" s="3" t="s">
        <v>808</v>
      </c>
      <c r="E393" s="3" t="str">
        <f>VLOOKUP(ventas[[#This Row],[ID Producto]],productos[#All],3,FALSE)</f>
        <v>Abarrotes</v>
      </c>
      <c r="F393" s="10" t="s">
        <v>9</v>
      </c>
      <c r="G393" s="3" t="s">
        <v>456</v>
      </c>
      <c r="H393">
        <v>5</v>
      </c>
      <c r="I393">
        <v>396</v>
      </c>
      <c r="J393">
        <v>1980</v>
      </c>
    </row>
    <row r="394" spans="1:10" x14ac:dyDescent="0.2">
      <c r="A394" s="3" t="s">
        <v>847</v>
      </c>
      <c r="B394" s="5">
        <v>44956</v>
      </c>
      <c r="C394" s="3" t="s">
        <v>77</v>
      </c>
      <c r="D394" s="3" t="s">
        <v>808</v>
      </c>
      <c r="E394" s="3" t="str">
        <f>VLOOKUP(ventas[[#This Row],[ID Producto]],productos[#All],3,FALSE)</f>
        <v>Abarrotes</v>
      </c>
      <c r="F394" s="9" t="s">
        <v>15</v>
      </c>
      <c r="G394" s="3" t="s">
        <v>456</v>
      </c>
      <c r="H394">
        <v>4</v>
      </c>
      <c r="I394">
        <v>396</v>
      </c>
      <c r="J394">
        <v>1584</v>
      </c>
    </row>
    <row r="395" spans="1:10" x14ac:dyDescent="0.2">
      <c r="A395" s="3" t="s">
        <v>848</v>
      </c>
      <c r="B395" s="5">
        <v>44977</v>
      </c>
      <c r="C395" s="3" t="s">
        <v>361</v>
      </c>
      <c r="D395" s="3" t="s">
        <v>808</v>
      </c>
      <c r="E395" s="3" t="str">
        <f>VLOOKUP(ventas[[#This Row],[ID Producto]],productos[#All],3,FALSE)</f>
        <v>Abarrotes</v>
      </c>
      <c r="F395" s="9" t="s">
        <v>9</v>
      </c>
      <c r="G395" s="3" t="s">
        <v>463</v>
      </c>
      <c r="H395">
        <v>3</v>
      </c>
      <c r="I395">
        <v>396</v>
      </c>
      <c r="J395">
        <v>1188</v>
      </c>
    </row>
    <row r="396" spans="1:10" x14ac:dyDescent="0.2">
      <c r="A396" s="3" t="s">
        <v>849</v>
      </c>
      <c r="B396" s="5">
        <v>45188</v>
      </c>
      <c r="C396" s="3" t="s">
        <v>299</v>
      </c>
      <c r="D396" s="3" t="s">
        <v>808</v>
      </c>
      <c r="E396" s="3" t="str">
        <f>VLOOKUP(ventas[[#This Row],[ID Producto]],productos[#All],3,FALSE)</f>
        <v>Abarrotes</v>
      </c>
      <c r="F396" s="9" t="s">
        <v>11</v>
      </c>
      <c r="G396" s="3" t="s">
        <v>456</v>
      </c>
      <c r="H396">
        <v>7</v>
      </c>
      <c r="I396">
        <v>396</v>
      </c>
      <c r="J396">
        <v>2772</v>
      </c>
    </row>
    <row r="397" spans="1:10" x14ac:dyDescent="0.2">
      <c r="A397" s="3" t="s">
        <v>850</v>
      </c>
      <c r="B397" s="5">
        <v>44952</v>
      </c>
      <c r="C397" s="3" t="s">
        <v>65</v>
      </c>
      <c r="D397" s="3" t="s">
        <v>808</v>
      </c>
      <c r="E397" s="3" t="str">
        <f>VLOOKUP(ventas[[#This Row],[ID Producto]],productos[#All],3,FALSE)</f>
        <v>Abarrotes</v>
      </c>
      <c r="F397" s="10" t="s">
        <v>9</v>
      </c>
      <c r="G397" s="3" t="s">
        <v>456</v>
      </c>
      <c r="H397">
        <v>1</v>
      </c>
      <c r="I397">
        <v>396</v>
      </c>
      <c r="J397">
        <v>396</v>
      </c>
    </row>
    <row r="398" spans="1:10" x14ac:dyDescent="0.2">
      <c r="A398" s="3" t="s">
        <v>851</v>
      </c>
      <c r="B398" s="5">
        <v>44982</v>
      </c>
      <c r="C398" s="3" t="s">
        <v>191</v>
      </c>
      <c r="D398" s="3" t="s">
        <v>808</v>
      </c>
      <c r="E398" s="3" t="str">
        <f>VLOOKUP(ventas[[#This Row],[ID Producto]],productos[#All],3,FALSE)</f>
        <v>Abarrotes</v>
      </c>
      <c r="F398" s="10" t="s">
        <v>9</v>
      </c>
      <c r="G398" s="3" t="s">
        <v>463</v>
      </c>
      <c r="H398">
        <v>6</v>
      </c>
      <c r="I398">
        <v>396</v>
      </c>
      <c r="J398">
        <v>2376</v>
      </c>
    </row>
    <row r="399" spans="1:10" x14ac:dyDescent="0.2">
      <c r="A399" s="3" t="s">
        <v>852</v>
      </c>
      <c r="B399" s="5">
        <v>45142</v>
      </c>
      <c r="C399" s="3" t="s">
        <v>267</v>
      </c>
      <c r="D399" s="3" t="s">
        <v>808</v>
      </c>
      <c r="E399" s="3" t="str">
        <f>VLOOKUP(ventas[[#This Row],[ID Producto]],productos[#All],3,FALSE)</f>
        <v>Abarrotes</v>
      </c>
      <c r="F399" s="9" t="s">
        <v>15</v>
      </c>
      <c r="G399" s="3" t="s">
        <v>453</v>
      </c>
      <c r="H399">
        <v>6</v>
      </c>
      <c r="I399">
        <v>396</v>
      </c>
      <c r="J399">
        <v>2376</v>
      </c>
    </row>
    <row r="400" spans="1:10" x14ac:dyDescent="0.2">
      <c r="A400" s="3" t="s">
        <v>853</v>
      </c>
      <c r="B400" s="5">
        <v>45291</v>
      </c>
      <c r="C400" s="3" t="s">
        <v>237</v>
      </c>
      <c r="D400" s="3" t="s">
        <v>808</v>
      </c>
      <c r="E400" s="3" t="str">
        <f>VLOOKUP(ventas[[#This Row],[ID Producto]],productos[#All],3,FALSE)</f>
        <v>Abarrotes</v>
      </c>
      <c r="F400" s="9" t="s">
        <v>9</v>
      </c>
      <c r="G400" s="3" t="s">
        <v>453</v>
      </c>
      <c r="H400">
        <v>2</v>
      </c>
      <c r="I400">
        <v>396</v>
      </c>
      <c r="J400">
        <v>792</v>
      </c>
    </row>
    <row r="401" spans="1:10" x14ac:dyDescent="0.2">
      <c r="A401" s="3" t="s">
        <v>854</v>
      </c>
      <c r="B401" s="5">
        <v>44951</v>
      </c>
      <c r="C401" s="3" t="s">
        <v>367</v>
      </c>
      <c r="D401" s="3" t="s">
        <v>808</v>
      </c>
      <c r="E401" s="3" t="str">
        <f>VLOOKUP(ventas[[#This Row],[ID Producto]],productos[#All],3,FALSE)</f>
        <v>Abarrotes</v>
      </c>
      <c r="F401" s="9" t="s">
        <v>11</v>
      </c>
      <c r="G401" s="3" t="s">
        <v>463</v>
      </c>
      <c r="H401">
        <v>6</v>
      </c>
      <c r="I401">
        <v>396</v>
      </c>
      <c r="J401">
        <v>2376</v>
      </c>
    </row>
    <row r="402" spans="1:10" x14ac:dyDescent="0.2">
      <c r="A402" s="3" t="s">
        <v>855</v>
      </c>
      <c r="B402" s="5">
        <v>44960</v>
      </c>
      <c r="C402" s="3" t="s">
        <v>253</v>
      </c>
      <c r="D402" s="3" t="s">
        <v>808</v>
      </c>
      <c r="E402" s="3" t="str">
        <f>VLOOKUP(ventas[[#This Row],[ID Producto]],productos[#All],3,FALSE)</f>
        <v>Abarrotes</v>
      </c>
      <c r="F402" s="10" t="s">
        <v>9</v>
      </c>
      <c r="G402" s="3" t="s">
        <v>456</v>
      </c>
      <c r="H402">
        <v>1</v>
      </c>
      <c r="I402">
        <v>396</v>
      </c>
      <c r="J402">
        <v>396</v>
      </c>
    </row>
    <row r="403" spans="1:10" x14ac:dyDescent="0.2">
      <c r="A403" s="3" t="s">
        <v>856</v>
      </c>
      <c r="B403" s="5">
        <v>45048</v>
      </c>
      <c r="C403" s="3" t="s">
        <v>391</v>
      </c>
      <c r="D403" s="3" t="s">
        <v>857</v>
      </c>
      <c r="E403" s="3" t="str">
        <f>VLOOKUP(ventas[[#This Row],[ID Producto]],productos[#All],3,FALSE)</f>
        <v>Abarrotes</v>
      </c>
      <c r="F403" s="10" t="s">
        <v>9</v>
      </c>
      <c r="G403" s="3" t="s">
        <v>456</v>
      </c>
      <c r="H403">
        <v>1</v>
      </c>
      <c r="I403">
        <v>3732</v>
      </c>
      <c r="J403">
        <v>3732</v>
      </c>
    </row>
    <row r="404" spans="1:10" x14ac:dyDescent="0.2">
      <c r="A404" s="3" t="s">
        <v>858</v>
      </c>
      <c r="B404" s="5">
        <v>45026</v>
      </c>
      <c r="C404" s="3" t="s">
        <v>307</v>
      </c>
      <c r="D404" s="3" t="s">
        <v>857</v>
      </c>
      <c r="E404" s="3" t="str">
        <f>VLOOKUP(ventas[[#This Row],[ID Producto]],productos[#All],3,FALSE)</f>
        <v>Abarrotes</v>
      </c>
      <c r="F404" s="9" t="s">
        <v>15</v>
      </c>
      <c r="G404" s="3" t="s">
        <v>463</v>
      </c>
      <c r="H404">
        <v>8</v>
      </c>
      <c r="I404">
        <v>3732</v>
      </c>
      <c r="J404">
        <v>29856</v>
      </c>
    </row>
    <row r="405" spans="1:10" x14ac:dyDescent="0.2">
      <c r="A405" s="3" t="s">
        <v>859</v>
      </c>
      <c r="B405" s="5">
        <v>45272</v>
      </c>
      <c r="C405" s="3" t="s">
        <v>57</v>
      </c>
      <c r="D405" s="3" t="s">
        <v>857</v>
      </c>
      <c r="E405" s="3" t="str">
        <f>VLOOKUP(ventas[[#This Row],[ID Producto]],productos[#All],3,FALSE)</f>
        <v>Abarrotes</v>
      </c>
      <c r="F405" s="9" t="s">
        <v>9</v>
      </c>
      <c r="G405" s="3" t="s">
        <v>463</v>
      </c>
      <c r="H405">
        <v>5</v>
      </c>
      <c r="I405">
        <v>3732</v>
      </c>
      <c r="J405">
        <v>1866</v>
      </c>
    </row>
    <row r="406" spans="1:10" x14ac:dyDescent="0.2">
      <c r="A406" s="3" t="s">
        <v>860</v>
      </c>
      <c r="B406" s="5">
        <v>45116</v>
      </c>
      <c r="C406" s="3" t="s">
        <v>435</v>
      </c>
      <c r="D406" s="3" t="s">
        <v>857</v>
      </c>
      <c r="E406" s="3" t="str">
        <f>VLOOKUP(ventas[[#This Row],[ID Producto]],productos[#All],3,FALSE)</f>
        <v>Abarrotes</v>
      </c>
      <c r="F406" s="9" t="s">
        <v>11</v>
      </c>
      <c r="G406" s="3" t="s">
        <v>463</v>
      </c>
      <c r="H406">
        <v>7</v>
      </c>
      <c r="I406">
        <v>3732</v>
      </c>
      <c r="J406">
        <v>26124</v>
      </c>
    </row>
    <row r="407" spans="1:10" x14ac:dyDescent="0.2">
      <c r="A407" s="3" t="s">
        <v>861</v>
      </c>
      <c r="B407" s="5">
        <v>45264</v>
      </c>
      <c r="C407" s="3" t="s">
        <v>125</v>
      </c>
      <c r="D407" s="3" t="s">
        <v>857</v>
      </c>
      <c r="E407" s="3" t="str">
        <f>VLOOKUP(ventas[[#This Row],[ID Producto]],productos[#All],3,FALSE)</f>
        <v>Abarrotes</v>
      </c>
      <c r="F407" s="10" t="s">
        <v>9</v>
      </c>
      <c r="G407" s="3" t="s">
        <v>463</v>
      </c>
      <c r="H407">
        <v>5</v>
      </c>
      <c r="I407">
        <v>3732</v>
      </c>
      <c r="J407">
        <v>1866</v>
      </c>
    </row>
    <row r="408" spans="1:10" x14ac:dyDescent="0.2">
      <c r="A408" s="3" t="s">
        <v>862</v>
      </c>
      <c r="B408" s="5">
        <v>45270</v>
      </c>
      <c r="C408" s="3" t="s">
        <v>357</v>
      </c>
      <c r="D408" s="3" t="s">
        <v>857</v>
      </c>
      <c r="E408" s="3" t="str">
        <f>VLOOKUP(ventas[[#This Row],[ID Producto]],productos[#All],3,FALSE)</f>
        <v>Abarrotes</v>
      </c>
      <c r="F408" s="10" t="s">
        <v>9</v>
      </c>
      <c r="G408" s="3" t="s">
        <v>463</v>
      </c>
      <c r="H408">
        <v>1</v>
      </c>
      <c r="I408">
        <v>3732</v>
      </c>
      <c r="J408">
        <v>3732</v>
      </c>
    </row>
    <row r="409" spans="1:10" x14ac:dyDescent="0.2">
      <c r="A409" s="3" t="s">
        <v>863</v>
      </c>
      <c r="B409" s="5">
        <v>45089</v>
      </c>
      <c r="C409" s="3" t="s">
        <v>357</v>
      </c>
      <c r="D409" s="3" t="s">
        <v>857</v>
      </c>
      <c r="E409" s="3" t="str">
        <f>VLOOKUP(ventas[[#This Row],[ID Producto]],productos[#All],3,FALSE)</f>
        <v>Abarrotes</v>
      </c>
      <c r="F409" s="9" t="s">
        <v>15</v>
      </c>
      <c r="G409" s="3" t="s">
        <v>453</v>
      </c>
      <c r="H409">
        <v>8</v>
      </c>
      <c r="I409">
        <v>3732</v>
      </c>
      <c r="J409">
        <v>29856</v>
      </c>
    </row>
    <row r="410" spans="1:10" x14ac:dyDescent="0.2">
      <c r="A410" s="3" t="s">
        <v>864</v>
      </c>
      <c r="B410" s="5">
        <v>44988</v>
      </c>
      <c r="C410" s="3" t="s">
        <v>123</v>
      </c>
      <c r="D410" s="3" t="s">
        <v>857</v>
      </c>
      <c r="E410" s="3" t="str">
        <f>VLOOKUP(ventas[[#This Row],[ID Producto]],productos[#All],3,FALSE)</f>
        <v>Abarrotes</v>
      </c>
      <c r="F410" s="9" t="s">
        <v>9</v>
      </c>
      <c r="G410" s="3" t="s">
        <v>456</v>
      </c>
      <c r="H410">
        <v>5</v>
      </c>
      <c r="I410">
        <v>3732</v>
      </c>
      <c r="J410">
        <v>1866</v>
      </c>
    </row>
    <row r="411" spans="1:10" x14ac:dyDescent="0.2">
      <c r="A411" s="3" t="s">
        <v>865</v>
      </c>
      <c r="B411" s="5">
        <v>45183</v>
      </c>
      <c r="C411" s="3" t="s">
        <v>361</v>
      </c>
      <c r="D411" s="3" t="s">
        <v>857</v>
      </c>
      <c r="E411" s="3" t="str">
        <f>VLOOKUP(ventas[[#This Row],[ID Producto]],productos[#All],3,FALSE)</f>
        <v>Abarrotes</v>
      </c>
      <c r="F411" s="9" t="s">
        <v>11</v>
      </c>
      <c r="G411" s="3" t="s">
        <v>453</v>
      </c>
      <c r="H411">
        <v>7</v>
      </c>
      <c r="I411">
        <v>3732</v>
      </c>
      <c r="J411">
        <v>26124</v>
      </c>
    </row>
    <row r="412" spans="1:10" x14ac:dyDescent="0.2">
      <c r="A412" s="3" t="s">
        <v>866</v>
      </c>
      <c r="B412" s="5">
        <v>45144</v>
      </c>
      <c r="C412" s="3" t="s">
        <v>183</v>
      </c>
      <c r="D412" s="3" t="s">
        <v>857</v>
      </c>
      <c r="E412" s="3" t="str">
        <f>VLOOKUP(ventas[[#This Row],[ID Producto]],productos[#All],3,FALSE)</f>
        <v>Abarrotes</v>
      </c>
      <c r="F412" s="10" t="s">
        <v>9</v>
      </c>
      <c r="G412" s="3" t="s">
        <v>456</v>
      </c>
      <c r="H412">
        <v>5</v>
      </c>
      <c r="I412">
        <v>3732</v>
      </c>
      <c r="J412">
        <v>1866</v>
      </c>
    </row>
    <row r="413" spans="1:10" x14ac:dyDescent="0.2">
      <c r="A413" s="3" t="s">
        <v>867</v>
      </c>
      <c r="B413" s="5">
        <v>45286</v>
      </c>
      <c r="C413" s="3" t="s">
        <v>329</v>
      </c>
      <c r="D413" s="3" t="s">
        <v>857</v>
      </c>
      <c r="E413" s="3" t="str">
        <f>VLOOKUP(ventas[[#This Row],[ID Producto]],productos[#All],3,FALSE)</f>
        <v>Abarrotes</v>
      </c>
      <c r="F413" s="10" t="s">
        <v>9</v>
      </c>
      <c r="G413" s="3" t="s">
        <v>456</v>
      </c>
      <c r="H413">
        <v>1</v>
      </c>
      <c r="I413">
        <v>3732</v>
      </c>
      <c r="J413">
        <v>3732</v>
      </c>
    </row>
    <row r="414" spans="1:10" x14ac:dyDescent="0.2">
      <c r="A414" s="3" t="s">
        <v>868</v>
      </c>
      <c r="B414" s="5">
        <v>45057</v>
      </c>
      <c r="C414" s="3" t="s">
        <v>173</v>
      </c>
      <c r="D414" s="3" t="s">
        <v>857</v>
      </c>
      <c r="E414" s="3" t="str">
        <f>VLOOKUP(ventas[[#This Row],[ID Producto]],productos[#All],3,FALSE)</f>
        <v>Abarrotes</v>
      </c>
      <c r="F414" s="9" t="s">
        <v>15</v>
      </c>
      <c r="G414" s="3" t="s">
        <v>456</v>
      </c>
      <c r="H414">
        <v>7</v>
      </c>
      <c r="I414">
        <v>3732</v>
      </c>
      <c r="J414">
        <v>26124</v>
      </c>
    </row>
    <row r="415" spans="1:10" x14ac:dyDescent="0.2">
      <c r="A415" s="3" t="s">
        <v>869</v>
      </c>
      <c r="B415" s="5">
        <v>44952</v>
      </c>
      <c r="C415" s="3" t="s">
        <v>243</v>
      </c>
      <c r="D415" s="3" t="s">
        <v>857</v>
      </c>
      <c r="E415" s="3" t="str">
        <f>VLOOKUP(ventas[[#This Row],[ID Producto]],productos[#All],3,FALSE)</f>
        <v>Abarrotes</v>
      </c>
      <c r="F415" s="9" t="s">
        <v>9</v>
      </c>
      <c r="G415" s="3" t="s">
        <v>463</v>
      </c>
      <c r="H415">
        <v>7</v>
      </c>
      <c r="I415">
        <v>3732</v>
      </c>
      <c r="J415">
        <v>26124</v>
      </c>
    </row>
    <row r="416" spans="1:10" x14ac:dyDescent="0.2">
      <c r="A416" s="3" t="s">
        <v>870</v>
      </c>
      <c r="B416" s="5">
        <v>45248</v>
      </c>
      <c r="C416" s="3" t="s">
        <v>291</v>
      </c>
      <c r="D416" s="3" t="s">
        <v>857</v>
      </c>
      <c r="E416" s="3" t="str">
        <f>VLOOKUP(ventas[[#This Row],[ID Producto]],productos[#All],3,FALSE)</f>
        <v>Abarrotes</v>
      </c>
      <c r="F416" s="9" t="s">
        <v>11</v>
      </c>
      <c r="G416" s="3" t="s">
        <v>463</v>
      </c>
      <c r="H416">
        <v>4</v>
      </c>
      <c r="I416">
        <v>3732</v>
      </c>
      <c r="J416">
        <v>14928</v>
      </c>
    </row>
    <row r="417" spans="1:10" x14ac:dyDescent="0.2">
      <c r="A417" s="3" t="s">
        <v>871</v>
      </c>
      <c r="B417" s="5">
        <v>44989</v>
      </c>
      <c r="C417" s="3" t="s">
        <v>161</v>
      </c>
      <c r="D417" s="3" t="s">
        <v>857</v>
      </c>
      <c r="E417" s="3" t="str">
        <f>VLOOKUP(ventas[[#This Row],[ID Producto]],productos[#All],3,FALSE)</f>
        <v>Abarrotes</v>
      </c>
      <c r="F417" s="10" t="s">
        <v>9</v>
      </c>
      <c r="G417" s="3" t="s">
        <v>463</v>
      </c>
      <c r="H417">
        <v>8</v>
      </c>
      <c r="I417">
        <v>3732</v>
      </c>
      <c r="J417">
        <v>29856</v>
      </c>
    </row>
    <row r="418" spans="1:10" x14ac:dyDescent="0.2">
      <c r="A418" s="3" t="s">
        <v>872</v>
      </c>
      <c r="B418" s="5">
        <v>45240</v>
      </c>
      <c r="C418" s="3" t="s">
        <v>243</v>
      </c>
      <c r="D418" s="3" t="s">
        <v>857</v>
      </c>
      <c r="E418" s="3" t="str">
        <f>VLOOKUP(ventas[[#This Row],[ID Producto]],productos[#All],3,FALSE)</f>
        <v>Abarrotes</v>
      </c>
      <c r="F418" s="10" t="s">
        <v>9</v>
      </c>
      <c r="G418" s="3" t="s">
        <v>463</v>
      </c>
      <c r="H418">
        <v>6</v>
      </c>
      <c r="I418">
        <v>3732</v>
      </c>
      <c r="J418">
        <v>22392</v>
      </c>
    </row>
    <row r="419" spans="1:10" x14ac:dyDescent="0.2">
      <c r="A419" s="3" t="s">
        <v>873</v>
      </c>
      <c r="B419" s="5">
        <v>45027</v>
      </c>
      <c r="C419" s="3" t="s">
        <v>291</v>
      </c>
      <c r="D419" s="3" t="s">
        <v>857</v>
      </c>
      <c r="E419" s="3" t="str">
        <f>VLOOKUP(ventas[[#This Row],[ID Producto]],productos[#All],3,FALSE)</f>
        <v>Abarrotes</v>
      </c>
      <c r="F419" s="9" t="s">
        <v>15</v>
      </c>
      <c r="G419" s="3" t="s">
        <v>456</v>
      </c>
      <c r="H419">
        <v>8</v>
      </c>
      <c r="I419">
        <v>3732</v>
      </c>
      <c r="J419">
        <v>29856</v>
      </c>
    </row>
    <row r="420" spans="1:10" x14ac:dyDescent="0.2">
      <c r="A420" s="3" t="s">
        <v>874</v>
      </c>
      <c r="B420" s="5">
        <v>45234</v>
      </c>
      <c r="C420" s="3" t="s">
        <v>69</v>
      </c>
      <c r="D420" s="3" t="s">
        <v>857</v>
      </c>
      <c r="E420" s="3" t="str">
        <f>VLOOKUP(ventas[[#This Row],[ID Producto]],productos[#All],3,FALSE)</f>
        <v>Abarrotes</v>
      </c>
      <c r="F420" s="9" t="s">
        <v>9</v>
      </c>
      <c r="G420" s="3" t="s">
        <v>463</v>
      </c>
      <c r="H420">
        <v>7</v>
      </c>
      <c r="I420">
        <v>3732</v>
      </c>
      <c r="J420">
        <v>26124</v>
      </c>
    </row>
    <row r="421" spans="1:10" x14ac:dyDescent="0.2">
      <c r="A421" s="3" t="s">
        <v>875</v>
      </c>
      <c r="B421" s="5">
        <v>45046</v>
      </c>
      <c r="C421" s="3" t="s">
        <v>243</v>
      </c>
      <c r="D421" s="3" t="s">
        <v>857</v>
      </c>
      <c r="E421" s="3" t="str">
        <f>VLOOKUP(ventas[[#This Row],[ID Producto]],productos[#All],3,FALSE)</f>
        <v>Abarrotes</v>
      </c>
      <c r="F421" s="9" t="s">
        <v>11</v>
      </c>
      <c r="G421" s="3" t="s">
        <v>456</v>
      </c>
      <c r="H421">
        <v>2</v>
      </c>
      <c r="I421">
        <v>3732</v>
      </c>
      <c r="J421">
        <v>7464</v>
      </c>
    </row>
    <row r="422" spans="1:10" x14ac:dyDescent="0.2">
      <c r="A422" s="3" t="s">
        <v>876</v>
      </c>
      <c r="B422" s="5">
        <v>45216</v>
      </c>
      <c r="C422" s="3" t="s">
        <v>127</v>
      </c>
      <c r="D422" s="3" t="s">
        <v>857</v>
      </c>
      <c r="E422" s="3" t="str">
        <f>VLOOKUP(ventas[[#This Row],[ID Producto]],productos[#All],3,FALSE)</f>
        <v>Abarrotes</v>
      </c>
      <c r="F422" s="10" t="s">
        <v>9</v>
      </c>
      <c r="G422" s="3" t="s">
        <v>456</v>
      </c>
      <c r="H422">
        <v>5</v>
      </c>
      <c r="I422">
        <v>3732</v>
      </c>
      <c r="J422">
        <v>1866</v>
      </c>
    </row>
    <row r="423" spans="1:10" x14ac:dyDescent="0.2">
      <c r="A423" s="3" t="s">
        <v>877</v>
      </c>
      <c r="B423" s="5">
        <v>44995</v>
      </c>
      <c r="C423" s="3" t="s">
        <v>309</v>
      </c>
      <c r="D423" s="3" t="s">
        <v>857</v>
      </c>
      <c r="E423" s="3" t="str">
        <f>VLOOKUP(ventas[[#This Row],[ID Producto]],productos[#All],3,FALSE)</f>
        <v>Abarrotes</v>
      </c>
      <c r="F423" s="10" t="s">
        <v>9</v>
      </c>
      <c r="G423" s="3" t="s">
        <v>456</v>
      </c>
      <c r="H423">
        <v>7</v>
      </c>
      <c r="I423">
        <v>3732</v>
      </c>
      <c r="J423">
        <v>26124</v>
      </c>
    </row>
    <row r="424" spans="1:10" x14ac:dyDescent="0.2">
      <c r="A424" s="3" t="s">
        <v>878</v>
      </c>
      <c r="B424" s="5">
        <v>44995</v>
      </c>
      <c r="C424" s="3" t="s">
        <v>145</v>
      </c>
      <c r="D424" s="3" t="s">
        <v>857</v>
      </c>
      <c r="E424" s="3" t="str">
        <f>VLOOKUP(ventas[[#This Row],[ID Producto]],productos[#All],3,FALSE)</f>
        <v>Abarrotes</v>
      </c>
      <c r="F424" s="9" t="s">
        <v>15</v>
      </c>
      <c r="G424" s="3" t="s">
        <v>453</v>
      </c>
      <c r="H424">
        <v>3</v>
      </c>
      <c r="I424">
        <v>3732</v>
      </c>
      <c r="J424">
        <v>11196</v>
      </c>
    </row>
    <row r="425" spans="1:10" x14ac:dyDescent="0.2">
      <c r="A425" s="3" t="s">
        <v>879</v>
      </c>
      <c r="B425" s="5">
        <v>45172</v>
      </c>
      <c r="C425" s="3" t="s">
        <v>447</v>
      </c>
      <c r="D425" s="3" t="s">
        <v>857</v>
      </c>
      <c r="E425" s="3" t="str">
        <f>VLOOKUP(ventas[[#This Row],[ID Producto]],productos[#All],3,FALSE)</f>
        <v>Abarrotes</v>
      </c>
      <c r="F425" s="9" t="s">
        <v>9</v>
      </c>
      <c r="G425" s="3" t="s">
        <v>456</v>
      </c>
      <c r="H425">
        <v>4</v>
      </c>
      <c r="I425">
        <v>3732</v>
      </c>
      <c r="J425">
        <v>14928</v>
      </c>
    </row>
    <row r="426" spans="1:10" x14ac:dyDescent="0.2">
      <c r="A426" s="3" t="s">
        <v>880</v>
      </c>
      <c r="B426" s="5">
        <v>44938</v>
      </c>
      <c r="C426" s="3" t="s">
        <v>253</v>
      </c>
      <c r="D426" s="3" t="s">
        <v>857</v>
      </c>
      <c r="E426" s="3" t="str">
        <f>VLOOKUP(ventas[[#This Row],[ID Producto]],productos[#All],3,FALSE)</f>
        <v>Abarrotes</v>
      </c>
      <c r="F426" s="9" t="s">
        <v>11</v>
      </c>
      <c r="G426" s="3" t="s">
        <v>463</v>
      </c>
      <c r="H426">
        <v>2</v>
      </c>
      <c r="I426">
        <v>3732</v>
      </c>
      <c r="J426">
        <v>7464</v>
      </c>
    </row>
    <row r="427" spans="1:10" x14ac:dyDescent="0.2">
      <c r="A427" s="3" t="s">
        <v>881</v>
      </c>
      <c r="B427" s="5">
        <v>45021</v>
      </c>
      <c r="C427" s="3" t="s">
        <v>81</v>
      </c>
      <c r="D427" s="3" t="s">
        <v>857</v>
      </c>
      <c r="E427" s="3" t="str">
        <f>VLOOKUP(ventas[[#This Row],[ID Producto]],productos[#All],3,FALSE)</f>
        <v>Abarrotes</v>
      </c>
      <c r="F427" s="10" t="s">
        <v>9</v>
      </c>
      <c r="G427" s="3" t="s">
        <v>456</v>
      </c>
      <c r="H427">
        <v>2</v>
      </c>
      <c r="I427">
        <v>3732</v>
      </c>
      <c r="J427">
        <v>7464</v>
      </c>
    </row>
    <row r="428" spans="1:10" x14ac:dyDescent="0.2">
      <c r="A428" s="3" t="s">
        <v>882</v>
      </c>
      <c r="B428" s="5">
        <v>45263</v>
      </c>
      <c r="C428" s="3" t="s">
        <v>137</v>
      </c>
      <c r="D428" s="3" t="s">
        <v>857</v>
      </c>
      <c r="E428" s="3" t="str">
        <f>VLOOKUP(ventas[[#This Row],[ID Producto]],productos[#All],3,FALSE)</f>
        <v>Abarrotes</v>
      </c>
      <c r="F428" s="10" t="s">
        <v>9</v>
      </c>
      <c r="G428" s="3" t="s">
        <v>456</v>
      </c>
      <c r="H428">
        <v>5</v>
      </c>
      <c r="I428">
        <v>3732</v>
      </c>
      <c r="J428">
        <v>1866</v>
      </c>
    </row>
    <row r="429" spans="1:10" x14ac:dyDescent="0.2">
      <c r="A429" s="3" t="s">
        <v>883</v>
      </c>
      <c r="B429" s="5">
        <v>45150</v>
      </c>
      <c r="C429" s="3" t="s">
        <v>73</v>
      </c>
      <c r="D429" s="3" t="s">
        <v>857</v>
      </c>
      <c r="E429" s="3" t="str">
        <f>VLOOKUP(ventas[[#This Row],[ID Producto]],productos[#All],3,FALSE)</f>
        <v>Abarrotes</v>
      </c>
      <c r="F429" s="9" t="s">
        <v>15</v>
      </c>
      <c r="G429" s="3" t="s">
        <v>463</v>
      </c>
      <c r="H429">
        <v>6</v>
      </c>
      <c r="I429">
        <v>3732</v>
      </c>
      <c r="J429">
        <v>22392</v>
      </c>
    </row>
    <row r="430" spans="1:10" x14ac:dyDescent="0.2">
      <c r="A430" s="3" t="s">
        <v>884</v>
      </c>
      <c r="B430" s="5">
        <v>45109</v>
      </c>
      <c r="C430" s="3" t="s">
        <v>367</v>
      </c>
      <c r="D430" s="3" t="s">
        <v>857</v>
      </c>
      <c r="E430" s="3" t="str">
        <f>VLOOKUP(ventas[[#This Row],[ID Producto]],productos[#All],3,FALSE)</f>
        <v>Abarrotes</v>
      </c>
      <c r="F430" s="9" t="s">
        <v>9</v>
      </c>
      <c r="G430" s="3" t="s">
        <v>463</v>
      </c>
      <c r="H430">
        <v>3</v>
      </c>
      <c r="I430">
        <v>3732</v>
      </c>
      <c r="J430">
        <v>11196</v>
      </c>
    </row>
    <row r="431" spans="1:10" x14ac:dyDescent="0.2">
      <c r="A431" s="3" t="s">
        <v>885</v>
      </c>
      <c r="B431" s="5">
        <v>45212</v>
      </c>
      <c r="C431" s="3" t="s">
        <v>427</v>
      </c>
      <c r="D431" s="3" t="s">
        <v>857</v>
      </c>
      <c r="E431" s="3" t="str">
        <f>VLOOKUP(ventas[[#This Row],[ID Producto]],productos[#All],3,FALSE)</f>
        <v>Abarrotes</v>
      </c>
      <c r="F431" s="9" t="s">
        <v>11</v>
      </c>
      <c r="G431" s="3" t="s">
        <v>456</v>
      </c>
      <c r="H431">
        <v>2</v>
      </c>
      <c r="I431">
        <v>3732</v>
      </c>
      <c r="J431">
        <v>7464</v>
      </c>
    </row>
    <row r="432" spans="1:10" x14ac:dyDescent="0.2">
      <c r="A432" s="3" t="s">
        <v>886</v>
      </c>
      <c r="B432" s="5">
        <v>45165</v>
      </c>
      <c r="C432" s="3" t="s">
        <v>125</v>
      </c>
      <c r="D432" s="3" t="s">
        <v>857</v>
      </c>
      <c r="E432" s="3" t="str">
        <f>VLOOKUP(ventas[[#This Row],[ID Producto]],productos[#All],3,FALSE)</f>
        <v>Abarrotes</v>
      </c>
      <c r="F432" s="10" t="s">
        <v>9</v>
      </c>
      <c r="G432" s="3" t="s">
        <v>463</v>
      </c>
      <c r="H432">
        <v>7</v>
      </c>
      <c r="I432">
        <v>3732</v>
      </c>
      <c r="J432">
        <v>26124</v>
      </c>
    </row>
    <row r="433" spans="1:10" x14ac:dyDescent="0.2">
      <c r="A433" s="3" t="s">
        <v>887</v>
      </c>
      <c r="B433" s="5">
        <v>45156</v>
      </c>
      <c r="C433" s="3" t="s">
        <v>69</v>
      </c>
      <c r="D433" s="3" t="s">
        <v>857</v>
      </c>
      <c r="E433" s="3" t="str">
        <f>VLOOKUP(ventas[[#This Row],[ID Producto]],productos[#All],3,FALSE)</f>
        <v>Abarrotes</v>
      </c>
      <c r="F433" s="10" t="s">
        <v>9</v>
      </c>
      <c r="G433" s="3" t="s">
        <v>456</v>
      </c>
      <c r="H433">
        <v>3</v>
      </c>
      <c r="I433">
        <v>3732</v>
      </c>
      <c r="J433">
        <v>11196</v>
      </c>
    </row>
    <row r="434" spans="1:10" x14ac:dyDescent="0.2">
      <c r="A434" s="3" t="s">
        <v>888</v>
      </c>
      <c r="B434" s="5">
        <v>45117</v>
      </c>
      <c r="C434" s="3" t="s">
        <v>249</v>
      </c>
      <c r="D434" s="3" t="s">
        <v>857</v>
      </c>
      <c r="E434" s="3" t="str">
        <f>VLOOKUP(ventas[[#This Row],[ID Producto]],productos[#All],3,FALSE)</f>
        <v>Abarrotes</v>
      </c>
      <c r="F434" s="9" t="s">
        <v>15</v>
      </c>
      <c r="G434" s="3" t="s">
        <v>463</v>
      </c>
      <c r="H434">
        <v>1</v>
      </c>
      <c r="I434">
        <v>3732</v>
      </c>
      <c r="J434">
        <v>3732</v>
      </c>
    </row>
    <row r="435" spans="1:10" x14ac:dyDescent="0.2">
      <c r="A435" s="3" t="s">
        <v>889</v>
      </c>
      <c r="B435" s="5">
        <v>45238</v>
      </c>
      <c r="C435" s="3" t="s">
        <v>243</v>
      </c>
      <c r="D435" s="3" t="s">
        <v>857</v>
      </c>
      <c r="E435" s="3" t="str">
        <f>VLOOKUP(ventas[[#This Row],[ID Producto]],productos[#All],3,FALSE)</f>
        <v>Abarrotes</v>
      </c>
      <c r="F435" s="9" t="s">
        <v>9</v>
      </c>
      <c r="G435" s="3" t="s">
        <v>463</v>
      </c>
      <c r="H435">
        <v>5</v>
      </c>
      <c r="I435">
        <v>3732</v>
      </c>
      <c r="J435">
        <v>1866</v>
      </c>
    </row>
    <row r="436" spans="1:10" x14ac:dyDescent="0.2">
      <c r="A436" s="3" t="s">
        <v>890</v>
      </c>
      <c r="B436" s="5">
        <v>44927</v>
      </c>
      <c r="C436" s="3" t="s">
        <v>443</v>
      </c>
      <c r="D436" s="3" t="s">
        <v>857</v>
      </c>
      <c r="E436" s="3" t="str">
        <f>VLOOKUP(ventas[[#This Row],[ID Producto]],productos[#All],3,FALSE)</f>
        <v>Abarrotes</v>
      </c>
      <c r="F436" s="9" t="s">
        <v>11</v>
      </c>
      <c r="G436" s="3" t="s">
        <v>463</v>
      </c>
      <c r="H436">
        <v>1</v>
      </c>
      <c r="I436">
        <v>3732</v>
      </c>
      <c r="J436">
        <v>3732</v>
      </c>
    </row>
    <row r="437" spans="1:10" x14ac:dyDescent="0.2">
      <c r="A437" s="3" t="s">
        <v>891</v>
      </c>
      <c r="B437" s="5">
        <v>45212</v>
      </c>
      <c r="C437" s="3" t="s">
        <v>357</v>
      </c>
      <c r="D437" s="3" t="s">
        <v>857</v>
      </c>
      <c r="E437" s="3" t="str">
        <f>VLOOKUP(ventas[[#This Row],[ID Producto]],productos[#All],3,FALSE)</f>
        <v>Abarrotes</v>
      </c>
      <c r="F437" s="10" t="s">
        <v>9</v>
      </c>
      <c r="G437" s="3" t="s">
        <v>456</v>
      </c>
      <c r="H437">
        <v>4</v>
      </c>
      <c r="I437">
        <v>3732</v>
      </c>
      <c r="J437">
        <v>14928</v>
      </c>
    </row>
    <row r="438" spans="1:10" x14ac:dyDescent="0.2">
      <c r="A438" s="3" t="s">
        <v>892</v>
      </c>
      <c r="B438" s="5">
        <v>45072</v>
      </c>
      <c r="C438" s="3" t="s">
        <v>93</v>
      </c>
      <c r="D438" s="3" t="s">
        <v>857</v>
      </c>
      <c r="E438" s="3" t="str">
        <f>VLOOKUP(ventas[[#This Row],[ID Producto]],productos[#All],3,FALSE)</f>
        <v>Abarrotes</v>
      </c>
      <c r="F438" s="10" t="s">
        <v>9</v>
      </c>
      <c r="G438" s="3" t="s">
        <v>463</v>
      </c>
      <c r="H438">
        <v>7</v>
      </c>
      <c r="I438">
        <v>3732</v>
      </c>
      <c r="J438">
        <v>26124</v>
      </c>
    </row>
    <row r="439" spans="1:10" x14ac:dyDescent="0.2">
      <c r="A439" s="3" t="s">
        <v>893</v>
      </c>
      <c r="B439" s="5">
        <v>45241</v>
      </c>
      <c r="C439" s="3" t="s">
        <v>247</v>
      </c>
      <c r="D439" s="3" t="s">
        <v>857</v>
      </c>
      <c r="E439" s="3" t="str">
        <f>VLOOKUP(ventas[[#This Row],[ID Producto]],productos[#All],3,FALSE)</f>
        <v>Abarrotes</v>
      </c>
      <c r="F439" s="9" t="s">
        <v>15</v>
      </c>
      <c r="G439" s="3" t="s">
        <v>463</v>
      </c>
      <c r="H439">
        <v>1</v>
      </c>
      <c r="I439">
        <v>3732</v>
      </c>
      <c r="J439">
        <v>3732</v>
      </c>
    </row>
    <row r="440" spans="1:10" x14ac:dyDescent="0.2">
      <c r="A440" s="3" t="s">
        <v>894</v>
      </c>
      <c r="B440" s="5">
        <v>45185</v>
      </c>
      <c r="C440" s="3" t="s">
        <v>243</v>
      </c>
      <c r="D440" s="3" t="s">
        <v>857</v>
      </c>
      <c r="E440" s="3" t="str">
        <f>VLOOKUP(ventas[[#This Row],[ID Producto]],productos[#All],3,FALSE)</f>
        <v>Abarrotes</v>
      </c>
      <c r="F440" s="9" t="s">
        <v>9</v>
      </c>
      <c r="G440" s="3" t="s">
        <v>456</v>
      </c>
      <c r="H440">
        <v>1</v>
      </c>
      <c r="I440">
        <v>3732</v>
      </c>
      <c r="J440">
        <v>3732</v>
      </c>
    </row>
    <row r="441" spans="1:10" x14ac:dyDescent="0.2">
      <c r="A441" s="3" t="s">
        <v>895</v>
      </c>
      <c r="B441" s="5">
        <v>45004</v>
      </c>
      <c r="C441" s="3" t="s">
        <v>445</v>
      </c>
      <c r="D441" s="3" t="s">
        <v>857</v>
      </c>
      <c r="E441" s="3" t="str">
        <f>VLOOKUP(ventas[[#This Row],[ID Producto]],productos[#All],3,FALSE)</f>
        <v>Abarrotes</v>
      </c>
      <c r="F441" s="9" t="s">
        <v>11</v>
      </c>
      <c r="G441" s="3" t="s">
        <v>456</v>
      </c>
      <c r="H441">
        <v>2</v>
      </c>
      <c r="I441">
        <v>3732</v>
      </c>
      <c r="J441">
        <v>7464</v>
      </c>
    </row>
    <row r="442" spans="1:10" x14ac:dyDescent="0.2">
      <c r="A442" s="3" t="s">
        <v>896</v>
      </c>
      <c r="B442" s="5">
        <v>45162</v>
      </c>
      <c r="C442" s="3" t="s">
        <v>91</v>
      </c>
      <c r="D442" s="3" t="s">
        <v>857</v>
      </c>
      <c r="E442" s="3" t="str">
        <f>VLOOKUP(ventas[[#This Row],[ID Producto]],productos[#All],3,FALSE)</f>
        <v>Abarrotes</v>
      </c>
      <c r="F442" s="10" t="s">
        <v>9</v>
      </c>
      <c r="G442" s="3" t="s">
        <v>456</v>
      </c>
      <c r="H442">
        <v>7</v>
      </c>
      <c r="I442">
        <v>3732</v>
      </c>
      <c r="J442">
        <v>26124</v>
      </c>
    </row>
    <row r="443" spans="1:10" x14ac:dyDescent="0.2">
      <c r="A443" s="3" t="s">
        <v>897</v>
      </c>
      <c r="B443" s="5">
        <v>45267</v>
      </c>
      <c r="C443" s="3" t="s">
        <v>297</v>
      </c>
      <c r="D443" s="3" t="s">
        <v>857</v>
      </c>
      <c r="E443" s="3" t="str">
        <f>VLOOKUP(ventas[[#This Row],[ID Producto]],productos[#All],3,FALSE)</f>
        <v>Abarrotes</v>
      </c>
      <c r="F443" s="10" t="s">
        <v>9</v>
      </c>
      <c r="G443" s="3" t="s">
        <v>456</v>
      </c>
      <c r="H443">
        <v>9</v>
      </c>
      <c r="I443">
        <v>3732</v>
      </c>
      <c r="J443">
        <v>33588</v>
      </c>
    </row>
    <row r="444" spans="1:10" x14ac:dyDescent="0.2">
      <c r="A444" s="3" t="s">
        <v>898</v>
      </c>
      <c r="B444" s="5">
        <v>45261</v>
      </c>
      <c r="C444" s="3" t="s">
        <v>395</v>
      </c>
      <c r="D444" s="3" t="s">
        <v>857</v>
      </c>
      <c r="E444" s="3" t="str">
        <f>VLOOKUP(ventas[[#This Row],[ID Producto]],productos[#All],3,FALSE)</f>
        <v>Abarrotes</v>
      </c>
      <c r="F444" s="9" t="s">
        <v>15</v>
      </c>
      <c r="G444" s="3" t="s">
        <v>456</v>
      </c>
      <c r="H444">
        <v>7</v>
      </c>
      <c r="I444">
        <v>3732</v>
      </c>
      <c r="J444">
        <v>26124</v>
      </c>
    </row>
    <row r="445" spans="1:10" x14ac:dyDescent="0.2">
      <c r="A445" s="3" t="s">
        <v>899</v>
      </c>
      <c r="B445" s="5">
        <v>44960</v>
      </c>
      <c r="C445" s="3" t="s">
        <v>209</v>
      </c>
      <c r="D445" s="3" t="s">
        <v>857</v>
      </c>
      <c r="E445" s="3" t="str">
        <f>VLOOKUP(ventas[[#This Row],[ID Producto]],productos[#All],3,FALSE)</f>
        <v>Abarrotes</v>
      </c>
      <c r="F445" s="9" t="s">
        <v>9</v>
      </c>
      <c r="G445" s="3" t="s">
        <v>456</v>
      </c>
      <c r="H445">
        <v>8</v>
      </c>
      <c r="I445">
        <v>3732</v>
      </c>
      <c r="J445">
        <v>29856</v>
      </c>
    </row>
    <row r="446" spans="1:10" x14ac:dyDescent="0.2">
      <c r="A446" s="3" t="s">
        <v>900</v>
      </c>
      <c r="B446" s="5">
        <v>45207</v>
      </c>
      <c r="C446" s="3" t="s">
        <v>379</v>
      </c>
      <c r="D446" s="3" t="s">
        <v>857</v>
      </c>
      <c r="E446" s="3" t="str">
        <f>VLOOKUP(ventas[[#This Row],[ID Producto]],productos[#All],3,FALSE)</f>
        <v>Abarrotes</v>
      </c>
      <c r="F446" s="9" t="s">
        <v>11</v>
      </c>
      <c r="G446" s="3" t="s">
        <v>453</v>
      </c>
      <c r="H446">
        <v>6</v>
      </c>
      <c r="I446">
        <v>3732</v>
      </c>
      <c r="J446">
        <v>22392</v>
      </c>
    </row>
    <row r="447" spans="1:10" x14ac:dyDescent="0.2">
      <c r="A447" s="3" t="s">
        <v>901</v>
      </c>
      <c r="B447" s="5">
        <v>45059</v>
      </c>
      <c r="C447" s="3" t="s">
        <v>63</v>
      </c>
      <c r="D447" s="3" t="s">
        <v>857</v>
      </c>
      <c r="E447" s="3" t="str">
        <f>VLOOKUP(ventas[[#This Row],[ID Producto]],productos[#All],3,FALSE)</f>
        <v>Abarrotes</v>
      </c>
      <c r="F447" s="10" t="s">
        <v>9</v>
      </c>
      <c r="G447" s="3" t="s">
        <v>453</v>
      </c>
      <c r="H447">
        <v>8</v>
      </c>
      <c r="I447">
        <v>3732</v>
      </c>
      <c r="J447">
        <v>29856</v>
      </c>
    </row>
    <row r="448" spans="1:10" x14ac:dyDescent="0.2">
      <c r="A448" s="3" t="s">
        <v>902</v>
      </c>
      <c r="B448" s="5">
        <v>45175</v>
      </c>
      <c r="C448" s="3" t="s">
        <v>95</v>
      </c>
      <c r="D448" s="3" t="s">
        <v>857</v>
      </c>
      <c r="E448" s="3" t="str">
        <f>VLOOKUP(ventas[[#This Row],[ID Producto]],productos[#All],3,FALSE)</f>
        <v>Abarrotes</v>
      </c>
      <c r="F448" s="10" t="s">
        <v>9</v>
      </c>
      <c r="G448" s="3" t="s">
        <v>453</v>
      </c>
      <c r="H448">
        <v>6</v>
      </c>
      <c r="I448">
        <v>3732</v>
      </c>
      <c r="J448">
        <v>22392</v>
      </c>
    </row>
    <row r="449" spans="1:10" x14ac:dyDescent="0.2">
      <c r="A449" s="3" t="s">
        <v>903</v>
      </c>
      <c r="B449" s="5">
        <v>44939</v>
      </c>
      <c r="C449" s="3" t="s">
        <v>50</v>
      </c>
      <c r="D449" s="3" t="s">
        <v>857</v>
      </c>
      <c r="E449" s="3" t="str">
        <f>VLOOKUP(ventas[[#This Row],[ID Producto]],productos[#All],3,FALSE)</f>
        <v>Abarrotes</v>
      </c>
      <c r="F449" s="9" t="s">
        <v>15</v>
      </c>
      <c r="G449" s="3" t="s">
        <v>456</v>
      </c>
      <c r="H449">
        <v>1</v>
      </c>
      <c r="I449">
        <v>3732</v>
      </c>
      <c r="J449">
        <v>3732</v>
      </c>
    </row>
    <row r="450" spans="1:10" x14ac:dyDescent="0.2">
      <c r="A450" s="3" t="s">
        <v>904</v>
      </c>
      <c r="B450" s="5">
        <v>44994</v>
      </c>
      <c r="C450" s="3" t="s">
        <v>369</v>
      </c>
      <c r="D450" s="3" t="s">
        <v>857</v>
      </c>
      <c r="E450" s="3" t="str">
        <f>VLOOKUP(ventas[[#This Row],[ID Producto]],productos[#All],3,FALSE)</f>
        <v>Abarrotes</v>
      </c>
      <c r="F450" s="9" t="s">
        <v>9</v>
      </c>
      <c r="G450" s="3" t="s">
        <v>463</v>
      </c>
      <c r="H450">
        <v>8</v>
      </c>
      <c r="I450">
        <v>3732</v>
      </c>
      <c r="J450">
        <v>29856</v>
      </c>
    </row>
    <row r="451" spans="1:10" x14ac:dyDescent="0.2">
      <c r="A451" s="3" t="s">
        <v>905</v>
      </c>
      <c r="B451" s="5">
        <v>45072</v>
      </c>
      <c r="C451" s="3" t="s">
        <v>347</v>
      </c>
      <c r="D451" s="3" t="s">
        <v>857</v>
      </c>
      <c r="E451" s="3" t="str">
        <f>VLOOKUP(ventas[[#This Row],[ID Producto]],productos[#All],3,FALSE)</f>
        <v>Abarrotes</v>
      </c>
      <c r="F451" s="9" t="s">
        <v>11</v>
      </c>
      <c r="G451" s="3" t="s">
        <v>456</v>
      </c>
      <c r="H451">
        <v>8</v>
      </c>
      <c r="I451">
        <v>3732</v>
      </c>
      <c r="J451">
        <v>29856</v>
      </c>
    </row>
    <row r="452" spans="1:10" x14ac:dyDescent="0.2">
      <c r="A452" s="3" t="s">
        <v>906</v>
      </c>
      <c r="B452" s="5">
        <v>44932</v>
      </c>
      <c r="C452" s="3" t="s">
        <v>391</v>
      </c>
      <c r="D452" s="3" t="s">
        <v>857</v>
      </c>
      <c r="E452" s="3" t="str">
        <f>VLOOKUP(ventas[[#This Row],[ID Producto]],productos[#All],3,FALSE)</f>
        <v>Abarrotes</v>
      </c>
      <c r="F452" s="10" t="s">
        <v>9</v>
      </c>
      <c r="G452" s="3" t="s">
        <v>456</v>
      </c>
      <c r="H452">
        <v>7</v>
      </c>
      <c r="I452">
        <v>3732</v>
      </c>
      <c r="J452">
        <v>26124</v>
      </c>
    </row>
    <row r="453" spans="1:10" x14ac:dyDescent="0.2">
      <c r="A453" s="3" t="s">
        <v>907</v>
      </c>
      <c r="B453" s="5">
        <v>45152</v>
      </c>
      <c r="C453" s="3" t="s">
        <v>437</v>
      </c>
      <c r="D453" s="3" t="s">
        <v>857</v>
      </c>
      <c r="E453" s="3" t="str">
        <f>VLOOKUP(ventas[[#This Row],[ID Producto]],productos[#All],3,FALSE)</f>
        <v>Abarrotes</v>
      </c>
      <c r="F453" s="10" t="s">
        <v>9</v>
      </c>
      <c r="G453" s="3" t="s">
        <v>463</v>
      </c>
      <c r="H453">
        <v>5</v>
      </c>
      <c r="I453">
        <v>3732</v>
      </c>
      <c r="J453">
        <v>1866</v>
      </c>
    </row>
    <row r="454" spans="1:10" x14ac:dyDescent="0.2">
      <c r="A454" s="3" t="s">
        <v>908</v>
      </c>
      <c r="B454" s="5">
        <v>44966</v>
      </c>
      <c r="C454" s="3" t="s">
        <v>315</v>
      </c>
      <c r="D454" s="3" t="s">
        <v>857</v>
      </c>
      <c r="E454" s="3" t="str">
        <f>VLOOKUP(ventas[[#This Row],[ID Producto]],productos[#All],3,FALSE)</f>
        <v>Abarrotes</v>
      </c>
      <c r="F454" s="9" t="s">
        <v>15</v>
      </c>
      <c r="G454" s="3" t="s">
        <v>456</v>
      </c>
      <c r="H454">
        <v>9</v>
      </c>
      <c r="I454">
        <v>3732</v>
      </c>
      <c r="J454">
        <v>33588</v>
      </c>
    </row>
    <row r="455" spans="1:10" x14ac:dyDescent="0.2">
      <c r="A455" s="3" t="s">
        <v>909</v>
      </c>
      <c r="B455" s="5">
        <v>45259</v>
      </c>
      <c r="C455" s="3" t="s">
        <v>359</v>
      </c>
      <c r="D455" s="3" t="s">
        <v>857</v>
      </c>
      <c r="E455" s="3" t="str">
        <f>VLOOKUP(ventas[[#This Row],[ID Producto]],productos[#All],3,FALSE)</f>
        <v>Abarrotes</v>
      </c>
      <c r="F455" s="9" t="s">
        <v>9</v>
      </c>
      <c r="G455" s="3" t="s">
        <v>453</v>
      </c>
      <c r="H455">
        <v>2</v>
      </c>
      <c r="I455">
        <v>3732</v>
      </c>
      <c r="J455">
        <v>7464</v>
      </c>
    </row>
    <row r="456" spans="1:10" x14ac:dyDescent="0.2">
      <c r="A456" s="3" t="s">
        <v>910</v>
      </c>
      <c r="B456" s="5">
        <v>45141</v>
      </c>
      <c r="C456" s="3" t="s">
        <v>307</v>
      </c>
      <c r="D456" s="3" t="s">
        <v>911</v>
      </c>
      <c r="E456" s="3" t="str">
        <f>VLOOKUP(ventas[[#This Row],[ID Producto]],productos[#All],3,FALSE)</f>
        <v>Bebidas</v>
      </c>
      <c r="F456" s="9" t="s">
        <v>11</v>
      </c>
      <c r="G456" s="3" t="s">
        <v>453</v>
      </c>
      <c r="H456">
        <v>7</v>
      </c>
      <c r="I456">
        <v>75</v>
      </c>
      <c r="J456">
        <v>525</v>
      </c>
    </row>
    <row r="457" spans="1:10" x14ac:dyDescent="0.2">
      <c r="A457" s="3" t="s">
        <v>912</v>
      </c>
      <c r="B457" s="5">
        <v>45255</v>
      </c>
      <c r="C457" s="3" t="s">
        <v>191</v>
      </c>
      <c r="D457" s="3" t="s">
        <v>911</v>
      </c>
      <c r="E457" s="3" t="str">
        <f>VLOOKUP(ventas[[#This Row],[ID Producto]],productos[#All],3,FALSE)</f>
        <v>Bebidas</v>
      </c>
      <c r="F457" s="10" t="s">
        <v>9</v>
      </c>
      <c r="G457" s="3" t="s">
        <v>463</v>
      </c>
      <c r="H457">
        <v>3</v>
      </c>
      <c r="I457">
        <v>75</v>
      </c>
      <c r="J457">
        <v>225</v>
      </c>
    </row>
    <row r="458" spans="1:10" x14ac:dyDescent="0.2">
      <c r="A458" s="3" t="s">
        <v>913</v>
      </c>
      <c r="B458" s="5">
        <v>45093</v>
      </c>
      <c r="C458" s="3" t="s">
        <v>69</v>
      </c>
      <c r="D458" s="3" t="s">
        <v>911</v>
      </c>
      <c r="E458" s="3" t="str">
        <f>VLOOKUP(ventas[[#This Row],[ID Producto]],productos[#All],3,FALSE)</f>
        <v>Bebidas</v>
      </c>
      <c r="F458" s="10" t="s">
        <v>9</v>
      </c>
      <c r="G458" s="3" t="s">
        <v>463</v>
      </c>
      <c r="H458">
        <v>3</v>
      </c>
      <c r="I458">
        <v>75</v>
      </c>
      <c r="J458">
        <v>225</v>
      </c>
    </row>
    <row r="459" spans="1:10" x14ac:dyDescent="0.2">
      <c r="A459" s="3" t="s">
        <v>914</v>
      </c>
      <c r="B459" s="5">
        <v>45007</v>
      </c>
      <c r="C459" s="3" t="s">
        <v>225</v>
      </c>
      <c r="D459" s="3" t="s">
        <v>911</v>
      </c>
      <c r="E459" s="3" t="str">
        <f>VLOOKUP(ventas[[#This Row],[ID Producto]],productos[#All],3,FALSE)</f>
        <v>Bebidas</v>
      </c>
      <c r="F459" s="9" t="s">
        <v>15</v>
      </c>
      <c r="G459" s="3" t="s">
        <v>463</v>
      </c>
      <c r="H459">
        <v>4</v>
      </c>
      <c r="I459">
        <v>75</v>
      </c>
      <c r="J459">
        <v>300</v>
      </c>
    </row>
    <row r="460" spans="1:10" x14ac:dyDescent="0.2">
      <c r="A460" s="3" t="s">
        <v>915</v>
      </c>
      <c r="B460" s="5">
        <v>44976</v>
      </c>
      <c r="C460" s="3" t="s">
        <v>131</v>
      </c>
      <c r="D460" s="3" t="s">
        <v>911</v>
      </c>
      <c r="E460" s="3" t="str">
        <f>VLOOKUP(ventas[[#This Row],[ID Producto]],productos[#All],3,FALSE)</f>
        <v>Bebidas</v>
      </c>
      <c r="F460" s="9" t="s">
        <v>9</v>
      </c>
      <c r="G460" s="3" t="s">
        <v>453</v>
      </c>
      <c r="H460">
        <v>7</v>
      </c>
      <c r="I460">
        <v>75</v>
      </c>
      <c r="J460">
        <v>525</v>
      </c>
    </row>
    <row r="461" spans="1:10" x14ac:dyDescent="0.2">
      <c r="A461" s="3" t="s">
        <v>916</v>
      </c>
      <c r="B461" s="5">
        <v>45178</v>
      </c>
      <c r="C461" s="3" t="s">
        <v>337</v>
      </c>
      <c r="D461" s="3" t="s">
        <v>911</v>
      </c>
      <c r="E461" s="3" t="str">
        <f>VLOOKUP(ventas[[#This Row],[ID Producto]],productos[#All],3,FALSE)</f>
        <v>Bebidas</v>
      </c>
      <c r="F461" s="9" t="s">
        <v>11</v>
      </c>
      <c r="G461" s="3" t="s">
        <v>456</v>
      </c>
      <c r="H461">
        <v>3</v>
      </c>
      <c r="I461">
        <v>75</v>
      </c>
      <c r="J461">
        <v>225</v>
      </c>
    </row>
    <row r="462" spans="1:10" x14ac:dyDescent="0.2">
      <c r="A462" s="3" t="s">
        <v>917</v>
      </c>
      <c r="B462" s="5">
        <v>45206</v>
      </c>
      <c r="C462" s="3" t="s">
        <v>443</v>
      </c>
      <c r="D462" s="3" t="s">
        <v>911</v>
      </c>
      <c r="E462" s="3" t="str">
        <f>VLOOKUP(ventas[[#This Row],[ID Producto]],productos[#All],3,FALSE)</f>
        <v>Bebidas</v>
      </c>
      <c r="F462" s="10" t="s">
        <v>9</v>
      </c>
      <c r="G462" s="3" t="s">
        <v>463</v>
      </c>
      <c r="H462">
        <v>7</v>
      </c>
      <c r="I462">
        <v>75</v>
      </c>
      <c r="J462">
        <v>525</v>
      </c>
    </row>
    <row r="463" spans="1:10" x14ac:dyDescent="0.2">
      <c r="A463" s="3" t="s">
        <v>918</v>
      </c>
      <c r="B463" s="5">
        <v>45178</v>
      </c>
      <c r="C463" s="3" t="s">
        <v>181</v>
      </c>
      <c r="D463" s="3" t="s">
        <v>911</v>
      </c>
      <c r="E463" s="3" t="str">
        <f>VLOOKUP(ventas[[#This Row],[ID Producto]],productos[#All],3,FALSE)</f>
        <v>Bebidas</v>
      </c>
      <c r="F463" s="10" t="s">
        <v>9</v>
      </c>
      <c r="G463" s="3" t="s">
        <v>463</v>
      </c>
      <c r="H463">
        <v>2</v>
      </c>
      <c r="I463">
        <v>75</v>
      </c>
      <c r="J463">
        <v>150</v>
      </c>
    </row>
    <row r="464" spans="1:10" x14ac:dyDescent="0.2">
      <c r="A464" s="3" t="s">
        <v>919</v>
      </c>
      <c r="B464" s="5">
        <v>44967</v>
      </c>
      <c r="C464" s="3" t="s">
        <v>405</v>
      </c>
      <c r="D464" s="3" t="s">
        <v>911</v>
      </c>
      <c r="E464" s="3" t="str">
        <f>VLOOKUP(ventas[[#This Row],[ID Producto]],productos[#All],3,FALSE)</f>
        <v>Bebidas</v>
      </c>
      <c r="F464" s="9" t="s">
        <v>15</v>
      </c>
      <c r="G464" s="3" t="s">
        <v>453</v>
      </c>
      <c r="H464">
        <v>8</v>
      </c>
      <c r="I464">
        <v>75</v>
      </c>
      <c r="J464">
        <v>600</v>
      </c>
    </row>
    <row r="465" spans="1:10" x14ac:dyDescent="0.2">
      <c r="A465" s="3" t="s">
        <v>920</v>
      </c>
      <c r="B465" s="5">
        <v>45007</v>
      </c>
      <c r="C465" s="3" t="s">
        <v>241</v>
      </c>
      <c r="D465" s="3" t="s">
        <v>911</v>
      </c>
      <c r="E465" s="3" t="str">
        <f>VLOOKUP(ventas[[#This Row],[ID Producto]],productos[#All],3,FALSE)</f>
        <v>Bebidas</v>
      </c>
      <c r="F465" s="9" t="s">
        <v>9</v>
      </c>
      <c r="G465" s="3" t="s">
        <v>453</v>
      </c>
      <c r="H465">
        <v>2</v>
      </c>
      <c r="I465">
        <v>75</v>
      </c>
      <c r="J465">
        <v>150</v>
      </c>
    </row>
    <row r="466" spans="1:10" x14ac:dyDescent="0.2">
      <c r="A466" s="3" t="s">
        <v>921</v>
      </c>
      <c r="B466" s="5">
        <v>44967</v>
      </c>
      <c r="C466" s="3" t="s">
        <v>219</v>
      </c>
      <c r="D466" s="3" t="s">
        <v>911</v>
      </c>
      <c r="E466" s="3" t="str">
        <f>VLOOKUP(ventas[[#This Row],[ID Producto]],productos[#All],3,FALSE)</f>
        <v>Bebidas</v>
      </c>
      <c r="F466" s="9" t="s">
        <v>11</v>
      </c>
      <c r="G466" s="3" t="s">
        <v>456</v>
      </c>
      <c r="H466">
        <v>2</v>
      </c>
      <c r="I466">
        <v>75</v>
      </c>
      <c r="J466">
        <v>150</v>
      </c>
    </row>
    <row r="467" spans="1:10" x14ac:dyDescent="0.2">
      <c r="A467" s="3" t="s">
        <v>922</v>
      </c>
      <c r="B467" s="5">
        <v>44954</v>
      </c>
      <c r="C467" s="3" t="s">
        <v>179</v>
      </c>
      <c r="D467" s="3" t="s">
        <v>911</v>
      </c>
      <c r="E467" s="3" t="str">
        <f>VLOOKUP(ventas[[#This Row],[ID Producto]],productos[#All],3,FALSE)</f>
        <v>Bebidas</v>
      </c>
      <c r="F467" s="10" t="s">
        <v>9</v>
      </c>
      <c r="G467" s="3" t="s">
        <v>463</v>
      </c>
      <c r="H467">
        <v>9</v>
      </c>
      <c r="I467">
        <v>75</v>
      </c>
      <c r="J467">
        <v>675</v>
      </c>
    </row>
    <row r="468" spans="1:10" x14ac:dyDescent="0.2">
      <c r="A468" s="3" t="s">
        <v>923</v>
      </c>
      <c r="B468" s="5">
        <v>44989</v>
      </c>
      <c r="C468" s="3" t="s">
        <v>99</v>
      </c>
      <c r="D468" s="3" t="s">
        <v>911</v>
      </c>
      <c r="E468" s="3" t="str">
        <f>VLOOKUP(ventas[[#This Row],[ID Producto]],productos[#All],3,FALSE)</f>
        <v>Bebidas</v>
      </c>
      <c r="F468" s="10" t="s">
        <v>9</v>
      </c>
      <c r="G468" s="3" t="s">
        <v>463</v>
      </c>
      <c r="H468">
        <v>9</v>
      </c>
      <c r="I468">
        <v>75</v>
      </c>
      <c r="J468">
        <v>675</v>
      </c>
    </row>
    <row r="469" spans="1:10" x14ac:dyDescent="0.2">
      <c r="A469" s="3" t="s">
        <v>924</v>
      </c>
      <c r="B469" s="5">
        <v>45060</v>
      </c>
      <c r="C469" s="3" t="s">
        <v>247</v>
      </c>
      <c r="D469" s="3" t="s">
        <v>911</v>
      </c>
      <c r="E469" s="3" t="str">
        <f>VLOOKUP(ventas[[#This Row],[ID Producto]],productos[#All],3,FALSE)</f>
        <v>Bebidas</v>
      </c>
      <c r="F469" s="9" t="s">
        <v>15</v>
      </c>
      <c r="G469" s="3" t="s">
        <v>456</v>
      </c>
      <c r="H469">
        <v>1</v>
      </c>
      <c r="I469">
        <v>75</v>
      </c>
      <c r="J469">
        <v>75</v>
      </c>
    </row>
    <row r="470" spans="1:10" x14ac:dyDescent="0.2">
      <c r="A470" s="3" t="s">
        <v>925</v>
      </c>
      <c r="B470" s="5">
        <v>45173</v>
      </c>
      <c r="C470" s="3" t="s">
        <v>405</v>
      </c>
      <c r="D470" s="3" t="s">
        <v>911</v>
      </c>
      <c r="E470" s="3" t="str">
        <f>VLOOKUP(ventas[[#This Row],[ID Producto]],productos[#All],3,FALSE)</f>
        <v>Bebidas</v>
      </c>
      <c r="F470" s="9" t="s">
        <v>9</v>
      </c>
      <c r="G470" s="3" t="s">
        <v>453</v>
      </c>
      <c r="H470">
        <v>3</v>
      </c>
      <c r="I470">
        <v>75</v>
      </c>
      <c r="J470">
        <v>225</v>
      </c>
    </row>
    <row r="471" spans="1:10" x14ac:dyDescent="0.2">
      <c r="A471" s="3" t="s">
        <v>926</v>
      </c>
      <c r="B471" s="5">
        <v>45110</v>
      </c>
      <c r="C471" s="3" t="s">
        <v>97</v>
      </c>
      <c r="D471" s="3" t="s">
        <v>911</v>
      </c>
      <c r="E471" s="3" t="str">
        <f>VLOOKUP(ventas[[#This Row],[ID Producto]],productos[#All],3,FALSE)</f>
        <v>Bebidas</v>
      </c>
      <c r="F471" s="9" t="s">
        <v>11</v>
      </c>
      <c r="G471" s="3" t="s">
        <v>456</v>
      </c>
      <c r="H471">
        <v>5</v>
      </c>
      <c r="I471">
        <v>75</v>
      </c>
      <c r="J471">
        <v>375</v>
      </c>
    </row>
    <row r="472" spans="1:10" x14ac:dyDescent="0.2">
      <c r="A472" s="3" t="s">
        <v>927</v>
      </c>
      <c r="B472" s="5">
        <v>45120</v>
      </c>
      <c r="C472" s="3" t="s">
        <v>317</v>
      </c>
      <c r="D472" s="3" t="s">
        <v>911</v>
      </c>
      <c r="E472" s="3" t="str">
        <f>VLOOKUP(ventas[[#This Row],[ID Producto]],productos[#All],3,FALSE)</f>
        <v>Bebidas</v>
      </c>
      <c r="F472" s="10" t="s">
        <v>9</v>
      </c>
      <c r="G472" s="3" t="s">
        <v>456</v>
      </c>
      <c r="H472">
        <v>2</v>
      </c>
      <c r="I472">
        <v>75</v>
      </c>
      <c r="J472">
        <v>150</v>
      </c>
    </row>
    <row r="473" spans="1:10" x14ac:dyDescent="0.2">
      <c r="A473" s="3" t="s">
        <v>928</v>
      </c>
      <c r="B473" s="5">
        <v>44959</v>
      </c>
      <c r="C473" s="3" t="s">
        <v>63</v>
      </c>
      <c r="D473" s="3" t="s">
        <v>911</v>
      </c>
      <c r="E473" s="3" t="str">
        <f>VLOOKUP(ventas[[#This Row],[ID Producto]],productos[#All],3,FALSE)</f>
        <v>Bebidas</v>
      </c>
      <c r="F473" s="10" t="s">
        <v>9</v>
      </c>
      <c r="G473" s="3" t="s">
        <v>456</v>
      </c>
      <c r="H473">
        <v>6</v>
      </c>
      <c r="I473">
        <v>75</v>
      </c>
      <c r="J473">
        <v>450</v>
      </c>
    </row>
    <row r="474" spans="1:10" x14ac:dyDescent="0.2">
      <c r="A474" s="3" t="s">
        <v>929</v>
      </c>
      <c r="B474" s="5">
        <v>45190</v>
      </c>
      <c r="C474" s="3" t="s">
        <v>335</v>
      </c>
      <c r="D474" s="3" t="s">
        <v>911</v>
      </c>
      <c r="E474" s="3" t="str">
        <f>VLOOKUP(ventas[[#This Row],[ID Producto]],productos[#All],3,FALSE)</f>
        <v>Bebidas</v>
      </c>
      <c r="F474" s="9" t="s">
        <v>15</v>
      </c>
      <c r="G474" s="3" t="s">
        <v>456</v>
      </c>
      <c r="H474">
        <v>4</v>
      </c>
      <c r="I474">
        <v>75</v>
      </c>
      <c r="J474">
        <v>300</v>
      </c>
    </row>
    <row r="475" spans="1:10" x14ac:dyDescent="0.2">
      <c r="A475" s="3" t="s">
        <v>930</v>
      </c>
      <c r="B475" s="5">
        <v>45114</v>
      </c>
      <c r="C475" s="3" t="s">
        <v>327</v>
      </c>
      <c r="D475" s="3" t="s">
        <v>911</v>
      </c>
      <c r="E475" s="3" t="str">
        <f>VLOOKUP(ventas[[#This Row],[ID Producto]],productos[#All],3,FALSE)</f>
        <v>Bebidas</v>
      </c>
      <c r="F475" s="9" t="s">
        <v>9</v>
      </c>
      <c r="G475" s="3" t="s">
        <v>463</v>
      </c>
      <c r="H475">
        <v>7</v>
      </c>
      <c r="I475">
        <v>75</v>
      </c>
      <c r="J475">
        <v>525</v>
      </c>
    </row>
    <row r="476" spans="1:10" x14ac:dyDescent="0.2">
      <c r="A476" s="3" t="s">
        <v>931</v>
      </c>
      <c r="B476" s="5">
        <v>45286</v>
      </c>
      <c r="C476" s="3" t="s">
        <v>287</v>
      </c>
      <c r="D476" s="3" t="s">
        <v>911</v>
      </c>
      <c r="E476" s="3" t="str">
        <f>VLOOKUP(ventas[[#This Row],[ID Producto]],productos[#All],3,FALSE)</f>
        <v>Bebidas</v>
      </c>
      <c r="F476" s="9" t="s">
        <v>11</v>
      </c>
      <c r="G476" s="3" t="s">
        <v>456</v>
      </c>
      <c r="H476">
        <v>3</v>
      </c>
      <c r="I476">
        <v>75</v>
      </c>
      <c r="J476">
        <v>225</v>
      </c>
    </row>
    <row r="477" spans="1:10" x14ac:dyDescent="0.2">
      <c r="A477" s="3" t="s">
        <v>932</v>
      </c>
      <c r="B477" s="5">
        <v>45242</v>
      </c>
      <c r="C477" s="3" t="s">
        <v>339</v>
      </c>
      <c r="D477" s="3" t="s">
        <v>911</v>
      </c>
      <c r="E477" s="3" t="str">
        <f>VLOOKUP(ventas[[#This Row],[ID Producto]],productos[#All],3,FALSE)</f>
        <v>Bebidas</v>
      </c>
      <c r="F477" s="10" t="s">
        <v>9</v>
      </c>
      <c r="G477" s="3" t="s">
        <v>463</v>
      </c>
      <c r="H477">
        <v>5</v>
      </c>
      <c r="I477">
        <v>75</v>
      </c>
      <c r="J477">
        <v>375</v>
      </c>
    </row>
    <row r="478" spans="1:10" x14ac:dyDescent="0.2">
      <c r="A478" s="3" t="s">
        <v>933</v>
      </c>
      <c r="B478" s="5">
        <v>45112</v>
      </c>
      <c r="C478" s="3" t="s">
        <v>101</v>
      </c>
      <c r="D478" s="3" t="s">
        <v>911</v>
      </c>
      <c r="E478" s="3" t="str">
        <f>VLOOKUP(ventas[[#This Row],[ID Producto]],productos[#All],3,FALSE)</f>
        <v>Bebidas</v>
      </c>
      <c r="F478" s="10" t="s">
        <v>9</v>
      </c>
      <c r="G478" s="3" t="s">
        <v>463</v>
      </c>
      <c r="H478">
        <v>8</v>
      </c>
      <c r="I478">
        <v>75</v>
      </c>
      <c r="J478">
        <v>600</v>
      </c>
    </row>
    <row r="479" spans="1:10" x14ac:dyDescent="0.2">
      <c r="A479" s="3" t="s">
        <v>934</v>
      </c>
      <c r="B479" s="5">
        <v>45071</v>
      </c>
      <c r="C479" s="3" t="s">
        <v>155</v>
      </c>
      <c r="D479" s="3" t="s">
        <v>911</v>
      </c>
      <c r="E479" s="3" t="str">
        <f>VLOOKUP(ventas[[#This Row],[ID Producto]],productos[#All],3,FALSE)</f>
        <v>Bebidas</v>
      </c>
      <c r="F479" s="9" t="s">
        <v>15</v>
      </c>
      <c r="G479" s="3" t="s">
        <v>463</v>
      </c>
      <c r="H479">
        <v>6</v>
      </c>
      <c r="I479">
        <v>75</v>
      </c>
      <c r="J479">
        <v>450</v>
      </c>
    </row>
    <row r="480" spans="1:10" x14ac:dyDescent="0.2">
      <c r="A480" s="3" t="s">
        <v>935</v>
      </c>
      <c r="B480" s="5">
        <v>45073</v>
      </c>
      <c r="C480" s="3" t="s">
        <v>265</v>
      </c>
      <c r="D480" s="3" t="s">
        <v>911</v>
      </c>
      <c r="E480" s="3" t="str">
        <f>VLOOKUP(ventas[[#This Row],[ID Producto]],productos[#All],3,FALSE)</f>
        <v>Bebidas</v>
      </c>
      <c r="F480" s="9" t="s">
        <v>9</v>
      </c>
      <c r="G480" s="3" t="s">
        <v>463</v>
      </c>
      <c r="H480">
        <v>5</v>
      </c>
      <c r="I480">
        <v>75</v>
      </c>
      <c r="J480">
        <v>375</v>
      </c>
    </row>
    <row r="481" spans="1:10" x14ac:dyDescent="0.2">
      <c r="A481" s="3" t="s">
        <v>936</v>
      </c>
      <c r="B481" s="5">
        <v>44970</v>
      </c>
      <c r="C481" s="3" t="s">
        <v>339</v>
      </c>
      <c r="D481" s="3" t="s">
        <v>911</v>
      </c>
      <c r="E481" s="3" t="str">
        <f>VLOOKUP(ventas[[#This Row],[ID Producto]],productos[#All],3,FALSE)</f>
        <v>Bebidas</v>
      </c>
      <c r="F481" s="9" t="s">
        <v>11</v>
      </c>
      <c r="G481" s="3" t="s">
        <v>453</v>
      </c>
      <c r="H481">
        <v>8</v>
      </c>
      <c r="I481">
        <v>75</v>
      </c>
      <c r="J481">
        <v>600</v>
      </c>
    </row>
    <row r="482" spans="1:10" x14ac:dyDescent="0.2">
      <c r="A482" s="3" t="s">
        <v>937</v>
      </c>
      <c r="B482" s="5">
        <v>45141</v>
      </c>
      <c r="C482" s="3" t="s">
        <v>423</v>
      </c>
      <c r="D482" s="3" t="s">
        <v>911</v>
      </c>
      <c r="E482" s="3" t="str">
        <f>VLOOKUP(ventas[[#This Row],[ID Producto]],productos[#All],3,FALSE)</f>
        <v>Bebidas</v>
      </c>
      <c r="F482" s="10" t="s">
        <v>9</v>
      </c>
      <c r="G482" s="3" t="s">
        <v>453</v>
      </c>
      <c r="H482">
        <v>1</v>
      </c>
      <c r="I482">
        <v>75</v>
      </c>
      <c r="J482">
        <v>75</v>
      </c>
    </row>
    <row r="483" spans="1:10" x14ac:dyDescent="0.2">
      <c r="A483" s="3" t="s">
        <v>938</v>
      </c>
      <c r="B483" s="5">
        <v>45041</v>
      </c>
      <c r="C483" s="3" t="s">
        <v>383</v>
      </c>
      <c r="D483" s="3" t="s">
        <v>911</v>
      </c>
      <c r="E483" s="3" t="str">
        <f>VLOOKUP(ventas[[#This Row],[ID Producto]],productos[#All],3,FALSE)</f>
        <v>Bebidas</v>
      </c>
      <c r="F483" s="10" t="s">
        <v>9</v>
      </c>
      <c r="G483" s="3" t="s">
        <v>463</v>
      </c>
      <c r="H483">
        <v>5</v>
      </c>
      <c r="I483">
        <v>75</v>
      </c>
      <c r="J483">
        <v>375</v>
      </c>
    </row>
    <row r="484" spans="1:10" x14ac:dyDescent="0.2">
      <c r="A484" s="3" t="s">
        <v>939</v>
      </c>
      <c r="B484" s="5">
        <v>45031</v>
      </c>
      <c r="C484" s="3" t="s">
        <v>413</v>
      </c>
      <c r="D484" s="3" t="s">
        <v>911</v>
      </c>
      <c r="E484" s="3" t="str">
        <f>VLOOKUP(ventas[[#This Row],[ID Producto]],productos[#All],3,FALSE)</f>
        <v>Bebidas</v>
      </c>
      <c r="F484" s="9" t="s">
        <v>15</v>
      </c>
      <c r="G484" s="3" t="s">
        <v>463</v>
      </c>
      <c r="H484">
        <v>1</v>
      </c>
      <c r="I484">
        <v>75</v>
      </c>
      <c r="J484">
        <v>75</v>
      </c>
    </row>
    <row r="485" spans="1:10" x14ac:dyDescent="0.2">
      <c r="A485" s="3" t="s">
        <v>940</v>
      </c>
      <c r="B485" s="5">
        <v>45203</v>
      </c>
      <c r="C485" s="3" t="s">
        <v>233</v>
      </c>
      <c r="D485" s="3" t="s">
        <v>911</v>
      </c>
      <c r="E485" s="3" t="str">
        <f>VLOOKUP(ventas[[#This Row],[ID Producto]],productos[#All],3,FALSE)</f>
        <v>Bebidas</v>
      </c>
      <c r="F485" s="9" t="s">
        <v>9</v>
      </c>
      <c r="G485" s="3" t="s">
        <v>463</v>
      </c>
      <c r="H485">
        <v>1</v>
      </c>
      <c r="I485">
        <v>75</v>
      </c>
      <c r="J485">
        <v>75</v>
      </c>
    </row>
    <row r="486" spans="1:10" x14ac:dyDescent="0.2">
      <c r="A486" s="3" t="s">
        <v>941</v>
      </c>
      <c r="B486" s="5">
        <v>45103</v>
      </c>
      <c r="C486" s="3" t="s">
        <v>263</v>
      </c>
      <c r="D486" s="3" t="s">
        <v>911</v>
      </c>
      <c r="E486" s="3" t="str">
        <f>VLOOKUP(ventas[[#This Row],[ID Producto]],productos[#All],3,FALSE)</f>
        <v>Bebidas</v>
      </c>
      <c r="F486" s="9" t="s">
        <v>11</v>
      </c>
      <c r="G486" s="3" t="s">
        <v>453</v>
      </c>
      <c r="H486">
        <v>9</v>
      </c>
      <c r="I486">
        <v>75</v>
      </c>
      <c r="J486">
        <v>675</v>
      </c>
    </row>
    <row r="487" spans="1:10" x14ac:dyDescent="0.2">
      <c r="A487" s="3" t="s">
        <v>942</v>
      </c>
      <c r="B487" s="5">
        <v>44965</v>
      </c>
      <c r="C487" s="3" t="s">
        <v>409</v>
      </c>
      <c r="D487" s="3" t="s">
        <v>911</v>
      </c>
      <c r="E487" s="3" t="str">
        <f>VLOOKUP(ventas[[#This Row],[ID Producto]],productos[#All],3,FALSE)</f>
        <v>Bebidas</v>
      </c>
      <c r="F487" s="10" t="s">
        <v>9</v>
      </c>
      <c r="G487" s="3" t="s">
        <v>453</v>
      </c>
      <c r="H487">
        <v>8</v>
      </c>
      <c r="I487">
        <v>75</v>
      </c>
      <c r="J487">
        <v>600</v>
      </c>
    </row>
    <row r="488" spans="1:10" x14ac:dyDescent="0.2">
      <c r="A488" s="3" t="s">
        <v>943</v>
      </c>
      <c r="B488" s="5">
        <v>44968</v>
      </c>
      <c r="C488" s="3" t="s">
        <v>145</v>
      </c>
      <c r="D488" s="3" t="s">
        <v>911</v>
      </c>
      <c r="E488" s="3" t="str">
        <f>VLOOKUP(ventas[[#This Row],[ID Producto]],productos[#All],3,FALSE)</f>
        <v>Bebidas</v>
      </c>
      <c r="F488" s="10" t="s">
        <v>9</v>
      </c>
      <c r="G488" s="3" t="s">
        <v>456</v>
      </c>
      <c r="H488">
        <v>4</v>
      </c>
      <c r="I488">
        <v>75</v>
      </c>
      <c r="J488">
        <v>300</v>
      </c>
    </row>
    <row r="489" spans="1:10" x14ac:dyDescent="0.2">
      <c r="A489" s="3" t="s">
        <v>944</v>
      </c>
      <c r="B489" s="5">
        <v>45072</v>
      </c>
      <c r="C489" s="3" t="s">
        <v>443</v>
      </c>
      <c r="D489" s="3" t="s">
        <v>911</v>
      </c>
      <c r="E489" s="3" t="str">
        <f>VLOOKUP(ventas[[#This Row],[ID Producto]],productos[#All],3,FALSE)</f>
        <v>Bebidas</v>
      </c>
      <c r="F489" s="9" t="s">
        <v>15</v>
      </c>
      <c r="G489" s="3" t="s">
        <v>456</v>
      </c>
      <c r="H489">
        <v>5</v>
      </c>
      <c r="I489">
        <v>75</v>
      </c>
      <c r="J489">
        <v>375</v>
      </c>
    </row>
    <row r="490" spans="1:10" x14ac:dyDescent="0.2">
      <c r="A490" s="3" t="s">
        <v>945</v>
      </c>
      <c r="B490" s="5">
        <v>45048</v>
      </c>
      <c r="C490" s="3" t="s">
        <v>165</v>
      </c>
      <c r="D490" s="3" t="s">
        <v>911</v>
      </c>
      <c r="E490" s="3" t="str">
        <f>VLOOKUP(ventas[[#This Row],[ID Producto]],productos[#All],3,FALSE)</f>
        <v>Bebidas</v>
      </c>
      <c r="F490" s="9" t="s">
        <v>9</v>
      </c>
      <c r="G490" s="3" t="s">
        <v>456</v>
      </c>
      <c r="H490">
        <v>5</v>
      </c>
      <c r="I490">
        <v>75</v>
      </c>
      <c r="J490">
        <v>375</v>
      </c>
    </row>
    <row r="491" spans="1:10" x14ac:dyDescent="0.2">
      <c r="A491" s="3" t="s">
        <v>946</v>
      </c>
      <c r="B491" s="5">
        <v>45120</v>
      </c>
      <c r="C491" s="3" t="s">
        <v>191</v>
      </c>
      <c r="D491" s="3" t="s">
        <v>911</v>
      </c>
      <c r="E491" s="3" t="str">
        <f>VLOOKUP(ventas[[#This Row],[ID Producto]],productos[#All],3,FALSE)</f>
        <v>Bebidas</v>
      </c>
      <c r="F491" s="9" t="s">
        <v>11</v>
      </c>
      <c r="G491" s="3" t="s">
        <v>463</v>
      </c>
      <c r="H491">
        <v>4</v>
      </c>
      <c r="I491">
        <v>75</v>
      </c>
      <c r="J491">
        <v>300</v>
      </c>
    </row>
    <row r="492" spans="1:10" x14ac:dyDescent="0.2">
      <c r="A492" s="3" t="s">
        <v>947</v>
      </c>
      <c r="B492" s="5">
        <v>45198</v>
      </c>
      <c r="C492" s="3" t="s">
        <v>275</v>
      </c>
      <c r="D492" s="3" t="s">
        <v>911</v>
      </c>
      <c r="E492" s="3" t="str">
        <f>VLOOKUP(ventas[[#This Row],[ID Producto]],productos[#All],3,FALSE)</f>
        <v>Bebidas</v>
      </c>
      <c r="F492" s="10" t="s">
        <v>9</v>
      </c>
      <c r="G492" s="3" t="s">
        <v>453</v>
      </c>
      <c r="H492">
        <v>3</v>
      </c>
      <c r="I492">
        <v>75</v>
      </c>
      <c r="J492">
        <v>225</v>
      </c>
    </row>
    <row r="493" spans="1:10" x14ac:dyDescent="0.2">
      <c r="A493" s="3" t="s">
        <v>948</v>
      </c>
      <c r="B493" s="5">
        <v>45016</v>
      </c>
      <c r="C493" s="3" t="s">
        <v>181</v>
      </c>
      <c r="D493" s="3" t="s">
        <v>911</v>
      </c>
      <c r="E493" s="3" t="str">
        <f>VLOOKUP(ventas[[#This Row],[ID Producto]],productos[#All],3,FALSE)</f>
        <v>Bebidas</v>
      </c>
      <c r="F493" s="10" t="s">
        <v>9</v>
      </c>
      <c r="G493" s="3" t="s">
        <v>463</v>
      </c>
      <c r="H493">
        <v>7</v>
      </c>
      <c r="I493">
        <v>75</v>
      </c>
      <c r="J493">
        <v>525</v>
      </c>
    </row>
    <row r="494" spans="1:10" x14ac:dyDescent="0.2">
      <c r="A494" s="3" t="s">
        <v>949</v>
      </c>
      <c r="B494" s="5">
        <v>44967</v>
      </c>
      <c r="C494" s="3" t="s">
        <v>341</v>
      </c>
      <c r="D494" s="3" t="s">
        <v>911</v>
      </c>
      <c r="E494" s="3" t="str">
        <f>VLOOKUP(ventas[[#This Row],[ID Producto]],productos[#All],3,FALSE)</f>
        <v>Bebidas</v>
      </c>
      <c r="F494" s="9" t="s">
        <v>15</v>
      </c>
      <c r="G494" s="3" t="s">
        <v>453</v>
      </c>
      <c r="H494">
        <v>3</v>
      </c>
      <c r="I494">
        <v>75</v>
      </c>
      <c r="J494">
        <v>225</v>
      </c>
    </row>
    <row r="495" spans="1:10" x14ac:dyDescent="0.2">
      <c r="A495" s="3" t="s">
        <v>950</v>
      </c>
      <c r="B495" s="5">
        <v>45208</v>
      </c>
      <c r="C495" s="3" t="s">
        <v>363</v>
      </c>
      <c r="D495" s="3" t="s">
        <v>911</v>
      </c>
      <c r="E495" s="3" t="str">
        <f>VLOOKUP(ventas[[#This Row],[ID Producto]],productos[#All],3,FALSE)</f>
        <v>Bebidas</v>
      </c>
      <c r="F495" s="9" t="s">
        <v>9</v>
      </c>
      <c r="G495" s="3" t="s">
        <v>463</v>
      </c>
      <c r="H495">
        <v>9</v>
      </c>
      <c r="I495">
        <v>75</v>
      </c>
      <c r="J495">
        <v>675</v>
      </c>
    </row>
    <row r="496" spans="1:10" x14ac:dyDescent="0.2">
      <c r="A496" s="3" t="s">
        <v>951</v>
      </c>
      <c r="B496" s="5">
        <v>45024</v>
      </c>
      <c r="C496" s="3" t="s">
        <v>71</v>
      </c>
      <c r="D496" s="3" t="s">
        <v>911</v>
      </c>
      <c r="E496" s="3" t="str">
        <f>VLOOKUP(ventas[[#This Row],[ID Producto]],productos[#All],3,FALSE)</f>
        <v>Bebidas</v>
      </c>
      <c r="F496" s="9" t="s">
        <v>11</v>
      </c>
      <c r="G496" s="3" t="s">
        <v>456</v>
      </c>
      <c r="H496">
        <v>1</v>
      </c>
      <c r="I496">
        <v>75</v>
      </c>
      <c r="J496">
        <v>75</v>
      </c>
    </row>
    <row r="497" spans="1:10" x14ac:dyDescent="0.2">
      <c r="A497" s="3" t="s">
        <v>952</v>
      </c>
      <c r="B497" s="5">
        <v>45071</v>
      </c>
      <c r="C497" s="3" t="s">
        <v>187</v>
      </c>
      <c r="D497" s="3" t="s">
        <v>911</v>
      </c>
      <c r="E497" s="3" t="str">
        <f>VLOOKUP(ventas[[#This Row],[ID Producto]],productos[#All],3,FALSE)</f>
        <v>Bebidas</v>
      </c>
      <c r="F497" s="10" t="s">
        <v>9</v>
      </c>
      <c r="G497" s="3" t="s">
        <v>463</v>
      </c>
      <c r="H497">
        <v>3</v>
      </c>
      <c r="I497">
        <v>75</v>
      </c>
      <c r="J497">
        <v>225</v>
      </c>
    </row>
    <row r="498" spans="1:10" x14ac:dyDescent="0.2">
      <c r="A498" s="3" t="s">
        <v>953</v>
      </c>
      <c r="B498" s="5">
        <v>45212</v>
      </c>
      <c r="C498" s="3" t="s">
        <v>99</v>
      </c>
      <c r="D498" s="3" t="s">
        <v>911</v>
      </c>
      <c r="E498" s="3" t="str">
        <f>VLOOKUP(ventas[[#This Row],[ID Producto]],productos[#All],3,FALSE)</f>
        <v>Bebidas</v>
      </c>
      <c r="F498" s="10" t="s">
        <v>9</v>
      </c>
      <c r="G498" s="3" t="s">
        <v>453</v>
      </c>
      <c r="H498">
        <v>2</v>
      </c>
      <c r="I498">
        <v>75</v>
      </c>
      <c r="J498">
        <v>150</v>
      </c>
    </row>
    <row r="499" spans="1:10" x14ac:dyDescent="0.2">
      <c r="A499" s="3" t="s">
        <v>954</v>
      </c>
      <c r="B499" s="5">
        <v>45266</v>
      </c>
      <c r="C499" s="3" t="s">
        <v>101</v>
      </c>
      <c r="D499" s="3" t="s">
        <v>911</v>
      </c>
      <c r="E499" s="3" t="str">
        <f>VLOOKUP(ventas[[#This Row],[ID Producto]],productos[#All],3,FALSE)</f>
        <v>Bebidas</v>
      </c>
      <c r="F499" s="9" t="s">
        <v>15</v>
      </c>
      <c r="G499" s="3" t="s">
        <v>463</v>
      </c>
      <c r="H499">
        <v>8</v>
      </c>
      <c r="I499">
        <v>75</v>
      </c>
      <c r="J499">
        <v>600</v>
      </c>
    </row>
    <row r="500" spans="1:10" x14ac:dyDescent="0.2">
      <c r="A500" s="3" t="s">
        <v>955</v>
      </c>
      <c r="B500" s="5">
        <v>44995</v>
      </c>
      <c r="C500" s="3" t="s">
        <v>437</v>
      </c>
      <c r="D500" s="3" t="s">
        <v>911</v>
      </c>
      <c r="E500" s="3" t="str">
        <f>VLOOKUP(ventas[[#This Row],[ID Producto]],productos[#All],3,FALSE)</f>
        <v>Bebidas</v>
      </c>
      <c r="F500" s="9" t="s">
        <v>9</v>
      </c>
      <c r="G500" s="3" t="s">
        <v>456</v>
      </c>
      <c r="H500">
        <v>8</v>
      </c>
      <c r="I500">
        <v>75</v>
      </c>
      <c r="J500">
        <v>600</v>
      </c>
    </row>
    <row r="501" spans="1:10" x14ac:dyDescent="0.2">
      <c r="A501" s="3" t="s">
        <v>956</v>
      </c>
      <c r="B501" s="5">
        <v>45131</v>
      </c>
      <c r="C501" s="3" t="s">
        <v>231</v>
      </c>
      <c r="D501" s="3" t="s">
        <v>911</v>
      </c>
      <c r="E501" s="3" t="str">
        <f>VLOOKUP(ventas[[#This Row],[ID Producto]],productos[#All],3,FALSE)</f>
        <v>Bebidas</v>
      </c>
      <c r="F501" s="9" t="s">
        <v>11</v>
      </c>
      <c r="G501" s="3" t="s">
        <v>453</v>
      </c>
      <c r="H501">
        <v>4</v>
      </c>
      <c r="I501">
        <v>75</v>
      </c>
      <c r="J501">
        <v>300</v>
      </c>
    </row>
    <row r="502" spans="1:10" x14ac:dyDescent="0.2">
      <c r="A502" s="3" t="s">
        <v>957</v>
      </c>
      <c r="B502" s="5">
        <v>45033</v>
      </c>
      <c r="C502" s="3" t="s">
        <v>353</v>
      </c>
      <c r="D502" s="3" t="s">
        <v>911</v>
      </c>
      <c r="E502" s="3" t="str">
        <f>VLOOKUP(ventas[[#This Row],[ID Producto]],productos[#All],3,FALSE)</f>
        <v>Bebidas</v>
      </c>
      <c r="F502" s="10" t="s">
        <v>9</v>
      </c>
      <c r="G502" s="3" t="s">
        <v>463</v>
      </c>
      <c r="H502">
        <v>7</v>
      </c>
      <c r="I502">
        <v>75</v>
      </c>
      <c r="J502">
        <v>525</v>
      </c>
    </row>
    <row r="503" spans="1:10" x14ac:dyDescent="0.2">
      <c r="A503" s="3" t="s">
        <v>958</v>
      </c>
      <c r="B503" s="5">
        <v>44974</v>
      </c>
      <c r="C503" s="3" t="s">
        <v>81</v>
      </c>
      <c r="D503" s="3" t="s">
        <v>911</v>
      </c>
      <c r="E503" s="3" t="str">
        <f>VLOOKUP(ventas[[#This Row],[ID Producto]],productos[#All],3,FALSE)</f>
        <v>Bebidas</v>
      </c>
      <c r="F503" s="10" t="s">
        <v>9</v>
      </c>
      <c r="G503" s="3" t="s">
        <v>453</v>
      </c>
      <c r="H503">
        <v>9</v>
      </c>
      <c r="I503">
        <v>75</v>
      </c>
      <c r="J503">
        <v>675</v>
      </c>
    </row>
    <row r="504" spans="1:10" x14ac:dyDescent="0.2">
      <c r="A504" s="3" t="s">
        <v>959</v>
      </c>
      <c r="B504" s="5">
        <v>45263</v>
      </c>
      <c r="C504" s="3" t="s">
        <v>215</v>
      </c>
      <c r="D504" s="3" t="s">
        <v>911</v>
      </c>
      <c r="E504" s="3" t="str">
        <f>VLOOKUP(ventas[[#This Row],[ID Producto]],productos[#All],3,FALSE)</f>
        <v>Bebidas</v>
      </c>
      <c r="F504" s="9" t="s">
        <v>15</v>
      </c>
      <c r="G504" s="3" t="s">
        <v>456</v>
      </c>
      <c r="H504">
        <v>1</v>
      </c>
      <c r="I504">
        <v>75</v>
      </c>
      <c r="J504">
        <v>75</v>
      </c>
    </row>
    <row r="505" spans="1:10" x14ac:dyDescent="0.2">
      <c r="A505" s="3" t="s">
        <v>960</v>
      </c>
      <c r="B505" s="5">
        <v>45164</v>
      </c>
      <c r="C505" s="3" t="s">
        <v>319</v>
      </c>
      <c r="D505" s="3" t="s">
        <v>911</v>
      </c>
      <c r="E505" s="3" t="str">
        <f>VLOOKUP(ventas[[#This Row],[ID Producto]],productos[#All],3,FALSE)</f>
        <v>Bebidas</v>
      </c>
      <c r="F505" s="9" t="s">
        <v>9</v>
      </c>
      <c r="G505" s="3" t="s">
        <v>456</v>
      </c>
      <c r="H505">
        <v>3</v>
      </c>
      <c r="I505">
        <v>75</v>
      </c>
      <c r="J505">
        <v>225</v>
      </c>
    </row>
    <row r="506" spans="1:10" x14ac:dyDescent="0.2">
      <c r="A506" s="3" t="s">
        <v>961</v>
      </c>
      <c r="B506" s="5">
        <v>45215</v>
      </c>
      <c r="C506" s="3" t="s">
        <v>59</v>
      </c>
      <c r="D506" s="3" t="s">
        <v>911</v>
      </c>
      <c r="E506" s="3" t="str">
        <f>VLOOKUP(ventas[[#This Row],[ID Producto]],productos[#All],3,FALSE)</f>
        <v>Bebidas</v>
      </c>
      <c r="F506" s="9" t="s">
        <v>11</v>
      </c>
      <c r="G506" s="3" t="s">
        <v>453</v>
      </c>
      <c r="H506">
        <v>3</v>
      </c>
      <c r="I506">
        <v>75</v>
      </c>
      <c r="J506">
        <v>225</v>
      </c>
    </row>
    <row r="507" spans="1:10" x14ac:dyDescent="0.2">
      <c r="A507" s="3" t="s">
        <v>962</v>
      </c>
      <c r="B507" s="5">
        <v>45257</v>
      </c>
      <c r="C507" s="3" t="s">
        <v>403</v>
      </c>
      <c r="D507" s="3" t="s">
        <v>911</v>
      </c>
      <c r="E507" s="3" t="str">
        <f>VLOOKUP(ventas[[#This Row],[ID Producto]],productos[#All],3,FALSE)</f>
        <v>Bebidas</v>
      </c>
      <c r="F507" s="10" t="s">
        <v>9</v>
      </c>
      <c r="G507" s="3" t="s">
        <v>456</v>
      </c>
      <c r="H507">
        <v>9</v>
      </c>
      <c r="I507">
        <v>75</v>
      </c>
      <c r="J507">
        <v>675</v>
      </c>
    </row>
    <row r="508" spans="1:10" x14ac:dyDescent="0.2">
      <c r="A508" s="3" t="s">
        <v>963</v>
      </c>
      <c r="B508" s="5">
        <v>45129</v>
      </c>
      <c r="C508" s="3" t="s">
        <v>137</v>
      </c>
      <c r="D508" s="3" t="s">
        <v>911</v>
      </c>
      <c r="E508" s="3" t="str">
        <f>VLOOKUP(ventas[[#This Row],[ID Producto]],productos[#All],3,FALSE)</f>
        <v>Bebidas</v>
      </c>
      <c r="F508" s="10" t="s">
        <v>9</v>
      </c>
      <c r="G508" s="3" t="s">
        <v>453</v>
      </c>
      <c r="H508">
        <v>2</v>
      </c>
      <c r="I508">
        <v>75</v>
      </c>
      <c r="J508">
        <v>150</v>
      </c>
    </row>
    <row r="509" spans="1:10" x14ac:dyDescent="0.2">
      <c r="A509" s="3" t="s">
        <v>964</v>
      </c>
      <c r="B509" s="5">
        <v>45226</v>
      </c>
      <c r="C509" s="3" t="s">
        <v>157</v>
      </c>
      <c r="D509" s="3" t="s">
        <v>911</v>
      </c>
      <c r="E509" s="3" t="str">
        <f>VLOOKUP(ventas[[#This Row],[ID Producto]],productos[#All],3,FALSE)</f>
        <v>Bebidas</v>
      </c>
      <c r="F509" s="9" t="s">
        <v>15</v>
      </c>
      <c r="G509" s="3" t="s">
        <v>463</v>
      </c>
      <c r="H509">
        <v>3</v>
      </c>
      <c r="I509">
        <v>75</v>
      </c>
      <c r="J509">
        <v>225</v>
      </c>
    </row>
    <row r="510" spans="1:10" x14ac:dyDescent="0.2">
      <c r="A510" s="3" t="s">
        <v>965</v>
      </c>
      <c r="B510" s="5">
        <v>44964</v>
      </c>
      <c r="C510" s="3" t="s">
        <v>159</v>
      </c>
      <c r="D510" s="3" t="s">
        <v>911</v>
      </c>
      <c r="E510" s="3" t="str">
        <f>VLOOKUP(ventas[[#This Row],[ID Producto]],productos[#All],3,FALSE)</f>
        <v>Bebidas</v>
      </c>
      <c r="F510" s="9" t="s">
        <v>9</v>
      </c>
      <c r="G510" s="3" t="s">
        <v>463</v>
      </c>
      <c r="H510">
        <v>6</v>
      </c>
      <c r="I510">
        <v>75</v>
      </c>
      <c r="J510">
        <v>450</v>
      </c>
    </row>
    <row r="511" spans="1:10" x14ac:dyDescent="0.2">
      <c r="A511" s="3" t="s">
        <v>966</v>
      </c>
      <c r="B511" s="5">
        <v>45257</v>
      </c>
      <c r="C511" s="3" t="s">
        <v>73</v>
      </c>
      <c r="D511" s="3" t="s">
        <v>967</v>
      </c>
      <c r="E511" s="3" t="str">
        <f>VLOOKUP(ventas[[#This Row],[ID Producto]],productos[#All],3,FALSE)</f>
        <v>Lácteos</v>
      </c>
      <c r="F511" s="9" t="s">
        <v>11</v>
      </c>
      <c r="G511" s="3" t="s">
        <v>453</v>
      </c>
      <c r="H511">
        <v>1</v>
      </c>
      <c r="I511">
        <v>3477</v>
      </c>
      <c r="J511">
        <v>3477</v>
      </c>
    </row>
    <row r="512" spans="1:10" x14ac:dyDescent="0.2">
      <c r="A512" s="3" t="s">
        <v>968</v>
      </c>
      <c r="B512" s="5">
        <v>45235</v>
      </c>
      <c r="C512" s="3" t="s">
        <v>193</v>
      </c>
      <c r="D512" s="3" t="s">
        <v>967</v>
      </c>
      <c r="E512" s="3" t="str">
        <f>VLOOKUP(ventas[[#This Row],[ID Producto]],productos[#All],3,FALSE)</f>
        <v>Lácteos</v>
      </c>
      <c r="F512" s="10" t="s">
        <v>9</v>
      </c>
      <c r="G512" s="3" t="s">
        <v>456</v>
      </c>
      <c r="H512">
        <v>5</v>
      </c>
      <c r="I512">
        <v>3477</v>
      </c>
      <c r="J512">
        <v>17385</v>
      </c>
    </row>
    <row r="513" spans="1:10" x14ac:dyDescent="0.2">
      <c r="A513" s="3" t="s">
        <v>969</v>
      </c>
      <c r="B513" s="5">
        <v>45270</v>
      </c>
      <c r="C513" s="3" t="s">
        <v>65</v>
      </c>
      <c r="D513" s="3" t="s">
        <v>967</v>
      </c>
      <c r="E513" s="3" t="str">
        <f>VLOOKUP(ventas[[#This Row],[ID Producto]],productos[#All],3,FALSE)</f>
        <v>Lácteos</v>
      </c>
      <c r="F513" s="10" t="s">
        <v>9</v>
      </c>
      <c r="G513" s="3" t="s">
        <v>453</v>
      </c>
      <c r="H513">
        <v>5</v>
      </c>
      <c r="I513">
        <v>3477</v>
      </c>
      <c r="J513">
        <v>17385</v>
      </c>
    </row>
    <row r="514" spans="1:10" x14ac:dyDescent="0.2">
      <c r="A514" s="3" t="s">
        <v>970</v>
      </c>
      <c r="B514" s="5">
        <v>45087</v>
      </c>
      <c r="C514" s="3" t="s">
        <v>373</v>
      </c>
      <c r="D514" s="3" t="s">
        <v>967</v>
      </c>
      <c r="E514" s="3" t="str">
        <f>VLOOKUP(ventas[[#This Row],[ID Producto]],productos[#All],3,FALSE)</f>
        <v>Lácteos</v>
      </c>
      <c r="F514" s="9" t="s">
        <v>15</v>
      </c>
      <c r="G514" s="3" t="s">
        <v>453</v>
      </c>
      <c r="H514">
        <v>2</v>
      </c>
      <c r="I514">
        <v>3477</v>
      </c>
      <c r="J514">
        <v>6954</v>
      </c>
    </row>
    <row r="515" spans="1:10" x14ac:dyDescent="0.2">
      <c r="A515" s="3" t="s">
        <v>971</v>
      </c>
      <c r="B515" s="5">
        <v>44981</v>
      </c>
      <c r="C515" s="3" t="s">
        <v>47</v>
      </c>
      <c r="D515" s="3" t="s">
        <v>967</v>
      </c>
      <c r="E515" s="3" t="str">
        <f>VLOOKUP(ventas[[#This Row],[ID Producto]],productos[#All],3,FALSE)</f>
        <v>Lácteos</v>
      </c>
      <c r="F515" s="9" t="s">
        <v>9</v>
      </c>
      <c r="G515" s="3" t="s">
        <v>463</v>
      </c>
      <c r="H515">
        <v>9</v>
      </c>
      <c r="I515">
        <v>3477</v>
      </c>
      <c r="J515">
        <v>31293</v>
      </c>
    </row>
    <row r="516" spans="1:10" x14ac:dyDescent="0.2">
      <c r="A516" s="3" t="s">
        <v>972</v>
      </c>
      <c r="B516" s="5">
        <v>45032</v>
      </c>
      <c r="C516" s="3" t="s">
        <v>191</v>
      </c>
      <c r="D516" s="3" t="s">
        <v>967</v>
      </c>
      <c r="E516" s="3" t="str">
        <f>VLOOKUP(ventas[[#This Row],[ID Producto]],productos[#All],3,FALSE)</f>
        <v>Lácteos</v>
      </c>
      <c r="F516" s="9" t="s">
        <v>11</v>
      </c>
      <c r="G516" s="3" t="s">
        <v>463</v>
      </c>
      <c r="H516">
        <v>1</v>
      </c>
      <c r="I516">
        <v>3477</v>
      </c>
      <c r="J516">
        <v>3477</v>
      </c>
    </row>
    <row r="517" spans="1:10" x14ac:dyDescent="0.2">
      <c r="A517" s="3" t="s">
        <v>973</v>
      </c>
      <c r="B517" s="5">
        <v>45169</v>
      </c>
      <c r="C517" s="3" t="s">
        <v>329</v>
      </c>
      <c r="D517" s="3" t="s">
        <v>967</v>
      </c>
      <c r="E517" s="3" t="str">
        <f>VLOOKUP(ventas[[#This Row],[ID Producto]],productos[#All],3,FALSE)</f>
        <v>Lácteos</v>
      </c>
      <c r="F517" s="10" t="s">
        <v>9</v>
      </c>
      <c r="G517" s="3" t="s">
        <v>453</v>
      </c>
      <c r="H517">
        <v>1</v>
      </c>
      <c r="I517">
        <v>3477</v>
      </c>
      <c r="J517">
        <v>3477</v>
      </c>
    </row>
    <row r="518" spans="1:10" x14ac:dyDescent="0.2">
      <c r="A518" s="3" t="s">
        <v>974</v>
      </c>
      <c r="B518" s="5">
        <v>45047</v>
      </c>
      <c r="C518" s="3" t="s">
        <v>127</v>
      </c>
      <c r="D518" s="3" t="s">
        <v>967</v>
      </c>
      <c r="E518" s="3" t="str">
        <f>VLOOKUP(ventas[[#This Row],[ID Producto]],productos[#All],3,FALSE)</f>
        <v>Lácteos</v>
      </c>
      <c r="F518" s="10" t="s">
        <v>9</v>
      </c>
      <c r="G518" s="3" t="s">
        <v>453</v>
      </c>
      <c r="H518">
        <v>8</v>
      </c>
      <c r="I518">
        <v>3477</v>
      </c>
      <c r="J518">
        <v>27816</v>
      </c>
    </row>
    <row r="519" spans="1:10" x14ac:dyDescent="0.2">
      <c r="A519" s="3" t="s">
        <v>975</v>
      </c>
      <c r="B519" s="5">
        <v>45285</v>
      </c>
      <c r="C519" s="3" t="s">
        <v>47</v>
      </c>
      <c r="D519" s="3" t="s">
        <v>967</v>
      </c>
      <c r="E519" s="3" t="str">
        <f>VLOOKUP(ventas[[#This Row],[ID Producto]],productos[#All],3,FALSE)</f>
        <v>Lácteos</v>
      </c>
      <c r="F519" s="9" t="s">
        <v>15</v>
      </c>
      <c r="G519" s="3" t="s">
        <v>463</v>
      </c>
      <c r="H519">
        <v>6</v>
      </c>
      <c r="I519">
        <v>3477</v>
      </c>
      <c r="J519">
        <v>20862</v>
      </c>
    </row>
    <row r="520" spans="1:10" x14ac:dyDescent="0.2">
      <c r="A520" s="3" t="s">
        <v>976</v>
      </c>
      <c r="B520" s="5">
        <v>45220</v>
      </c>
      <c r="C520" s="3" t="s">
        <v>443</v>
      </c>
      <c r="D520" s="3" t="s">
        <v>967</v>
      </c>
      <c r="E520" s="3" t="str">
        <f>VLOOKUP(ventas[[#This Row],[ID Producto]],productos[#All],3,FALSE)</f>
        <v>Lácteos</v>
      </c>
      <c r="F520" s="9" t="s">
        <v>9</v>
      </c>
      <c r="G520" s="3" t="s">
        <v>463</v>
      </c>
      <c r="H520">
        <v>3</v>
      </c>
      <c r="I520">
        <v>3477</v>
      </c>
      <c r="J520">
        <v>10431</v>
      </c>
    </row>
    <row r="521" spans="1:10" x14ac:dyDescent="0.2">
      <c r="A521" s="3" t="s">
        <v>977</v>
      </c>
      <c r="B521" s="5">
        <v>45074</v>
      </c>
      <c r="C521" s="3" t="s">
        <v>257</v>
      </c>
      <c r="D521" s="3" t="s">
        <v>967</v>
      </c>
      <c r="E521" s="3" t="str">
        <f>VLOOKUP(ventas[[#This Row],[ID Producto]],productos[#All],3,FALSE)</f>
        <v>Lácteos</v>
      </c>
      <c r="F521" s="9" t="s">
        <v>11</v>
      </c>
      <c r="G521" s="3" t="s">
        <v>453</v>
      </c>
      <c r="H521">
        <v>8</v>
      </c>
      <c r="I521">
        <v>3477</v>
      </c>
      <c r="J521">
        <v>27816</v>
      </c>
    </row>
    <row r="522" spans="1:10" x14ac:dyDescent="0.2">
      <c r="A522" s="3" t="s">
        <v>978</v>
      </c>
      <c r="B522" s="5">
        <v>45074</v>
      </c>
      <c r="C522" s="3" t="s">
        <v>219</v>
      </c>
      <c r="D522" s="3" t="s">
        <v>967</v>
      </c>
      <c r="E522" s="3" t="str">
        <f>VLOOKUP(ventas[[#This Row],[ID Producto]],productos[#All],3,FALSE)</f>
        <v>Lácteos</v>
      </c>
      <c r="F522" s="10" t="s">
        <v>9</v>
      </c>
      <c r="G522" s="3" t="s">
        <v>456</v>
      </c>
      <c r="H522">
        <v>7</v>
      </c>
      <c r="I522">
        <v>3477</v>
      </c>
      <c r="J522">
        <v>24339</v>
      </c>
    </row>
    <row r="523" spans="1:10" x14ac:dyDescent="0.2">
      <c r="A523" s="3" t="s">
        <v>979</v>
      </c>
      <c r="B523" s="5">
        <v>44965</v>
      </c>
      <c r="C523" s="3" t="s">
        <v>189</v>
      </c>
      <c r="D523" s="3" t="s">
        <v>967</v>
      </c>
      <c r="E523" s="3" t="str">
        <f>VLOOKUP(ventas[[#This Row],[ID Producto]],productos[#All],3,FALSE)</f>
        <v>Lácteos</v>
      </c>
      <c r="F523" s="10" t="s">
        <v>9</v>
      </c>
      <c r="G523" s="3" t="s">
        <v>453</v>
      </c>
      <c r="H523">
        <v>8</v>
      </c>
      <c r="I523">
        <v>3477</v>
      </c>
      <c r="J523">
        <v>27816</v>
      </c>
    </row>
    <row r="524" spans="1:10" x14ac:dyDescent="0.2">
      <c r="A524" s="3" t="s">
        <v>980</v>
      </c>
      <c r="B524" s="5">
        <v>45178</v>
      </c>
      <c r="C524" s="3" t="s">
        <v>105</v>
      </c>
      <c r="D524" s="3" t="s">
        <v>967</v>
      </c>
      <c r="E524" s="3" t="str">
        <f>VLOOKUP(ventas[[#This Row],[ID Producto]],productos[#All],3,FALSE)</f>
        <v>Lácteos</v>
      </c>
      <c r="F524" s="9" t="s">
        <v>15</v>
      </c>
      <c r="G524" s="3" t="s">
        <v>463</v>
      </c>
      <c r="H524">
        <v>9</v>
      </c>
      <c r="I524">
        <v>3477</v>
      </c>
      <c r="J524">
        <v>31293</v>
      </c>
    </row>
    <row r="525" spans="1:10" x14ac:dyDescent="0.2">
      <c r="A525" s="3" t="s">
        <v>981</v>
      </c>
      <c r="B525" s="5">
        <v>44928</v>
      </c>
      <c r="C525" s="3" t="s">
        <v>383</v>
      </c>
      <c r="D525" s="3" t="s">
        <v>967</v>
      </c>
      <c r="E525" s="3" t="str">
        <f>VLOOKUP(ventas[[#This Row],[ID Producto]],productos[#All],3,FALSE)</f>
        <v>Lácteos</v>
      </c>
      <c r="F525" s="9" t="s">
        <v>9</v>
      </c>
      <c r="G525" s="3" t="s">
        <v>456</v>
      </c>
      <c r="H525">
        <v>2</v>
      </c>
      <c r="I525">
        <v>3477</v>
      </c>
      <c r="J525">
        <v>6954</v>
      </c>
    </row>
    <row r="526" spans="1:10" x14ac:dyDescent="0.2">
      <c r="A526" s="3" t="s">
        <v>982</v>
      </c>
      <c r="B526" s="5">
        <v>45134</v>
      </c>
      <c r="C526" s="3" t="s">
        <v>405</v>
      </c>
      <c r="D526" s="3" t="s">
        <v>967</v>
      </c>
      <c r="E526" s="3" t="str">
        <f>VLOOKUP(ventas[[#This Row],[ID Producto]],productos[#All],3,FALSE)</f>
        <v>Lácteos</v>
      </c>
      <c r="F526" s="9" t="s">
        <v>11</v>
      </c>
      <c r="G526" s="3" t="s">
        <v>456</v>
      </c>
      <c r="H526">
        <v>7</v>
      </c>
      <c r="I526">
        <v>3477</v>
      </c>
      <c r="J526">
        <v>24339</v>
      </c>
    </row>
    <row r="527" spans="1:10" x14ac:dyDescent="0.2">
      <c r="A527" s="3" t="s">
        <v>983</v>
      </c>
      <c r="B527" s="5">
        <v>45078</v>
      </c>
      <c r="C527" s="3" t="s">
        <v>311</v>
      </c>
      <c r="D527" s="3" t="s">
        <v>967</v>
      </c>
      <c r="E527" s="3" t="str">
        <f>VLOOKUP(ventas[[#This Row],[ID Producto]],productos[#All],3,FALSE)</f>
        <v>Lácteos</v>
      </c>
      <c r="F527" s="10" t="s">
        <v>9</v>
      </c>
      <c r="G527" s="3" t="s">
        <v>456</v>
      </c>
      <c r="H527">
        <v>7</v>
      </c>
      <c r="I527">
        <v>3477</v>
      </c>
      <c r="J527">
        <v>24339</v>
      </c>
    </row>
    <row r="528" spans="1:10" x14ac:dyDescent="0.2">
      <c r="A528" s="3" t="s">
        <v>984</v>
      </c>
      <c r="B528" s="5">
        <v>45236</v>
      </c>
      <c r="C528" s="3" t="s">
        <v>233</v>
      </c>
      <c r="D528" s="3" t="s">
        <v>967</v>
      </c>
      <c r="E528" s="3" t="str">
        <f>VLOOKUP(ventas[[#This Row],[ID Producto]],productos[#All],3,FALSE)</f>
        <v>Lácteos</v>
      </c>
      <c r="F528" s="10" t="s">
        <v>9</v>
      </c>
      <c r="G528" s="3" t="s">
        <v>463</v>
      </c>
      <c r="H528">
        <v>4</v>
      </c>
      <c r="I528">
        <v>3477</v>
      </c>
      <c r="J528">
        <v>13908</v>
      </c>
    </row>
    <row r="529" spans="1:10" x14ac:dyDescent="0.2">
      <c r="A529" s="3" t="s">
        <v>985</v>
      </c>
      <c r="B529" s="5">
        <v>45095</v>
      </c>
      <c r="C529" s="3" t="s">
        <v>161</v>
      </c>
      <c r="D529" s="3" t="s">
        <v>967</v>
      </c>
      <c r="E529" s="3" t="str">
        <f>VLOOKUP(ventas[[#This Row],[ID Producto]],productos[#All],3,FALSE)</f>
        <v>Lácteos</v>
      </c>
      <c r="F529" s="9" t="s">
        <v>15</v>
      </c>
      <c r="G529" s="3" t="s">
        <v>453</v>
      </c>
      <c r="H529">
        <v>1</v>
      </c>
      <c r="I529">
        <v>3477</v>
      </c>
      <c r="J529">
        <v>3477</v>
      </c>
    </row>
    <row r="530" spans="1:10" x14ac:dyDescent="0.2">
      <c r="A530" s="3" t="s">
        <v>986</v>
      </c>
      <c r="B530" s="5">
        <v>45230</v>
      </c>
      <c r="C530" s="3" t="s">
        <v>181</v>
      </c>
      <c r="D530" s="3" t="s">
        <v>967</v>
      </c>
      <c r="E530" s="3" t="str">
        <f>VLOOKUP(ventas[[#This Row],[ID Producto]],productos[#All],3,FALSE)</f>
        <v>Lácteos</v>
      </c>
      <c r="F530" s="9" t="s">
        <v>9</v>
      </c>
      <c r="G530" s="3" t="s">
        <v>456</v>
      </c>
      <c r="H530">
        <v>3</v>
      </c>
      <c r="I530">
        <v>3477</v>
      </c>
      <c r="J530">
        <v>10431</v>
      </c>
    </row>
    <row r="531" spans="1:10" x14ac:dyDescent="0.2">
      <c r="A531" s="3" t="s">
        <v>987</v>
      </c>
      <c r="B531" s="5">
        <v>45159</v>
      </c>
      <c r="C531" s="3" t="s">
        <v>305</v>
      </c>
      <c r="D531" s="3" t="s">
        <v>967</v>
      </c>
      <c r="E531" s="3" t="str">
        <f>VLOOKUP(ventas[[#This Row],[ID Producto]],productos[#All],3,FALSE)</f>
        <v>Lácteos</v>
      </c>
      <c r="F531" s="9" t="s">
        <v>11</v>
      </c>
      <c r="G531" s="3" t="s">
        <v>453</v>
      </c>
      <c r="H531">
        <v>8</v>
      </c>
      <c r="I531">
        <v>3477</v>
      </c>
      <c r="J531">
        <v>27816</v>
      </c>
    </row>
    <row r="532" spans="1:10" x14ac:dyDescent="0.2">
      <c r="A532" s="3" t="s">
        <v>988</v>
      </c>
      <c r="B532" s="5">
        <v>45021</v>
      </c>
      <c r="C532" s="3" t="s">
        <v>437</v>
      </c>
      <c r="D532" s="3" t="s">
        <v>967</v>
      </c>
      <c r="E532" s="3" t="str">
        <f>VLOOKUP(ventas[[#This Row],[ID Producto]],productos[#All],3,FALSE)</f>
        <v>Lácteos</v>
      </c>
      <c r="F532" s="10" t="s">
        <v>9</v>
      </c>
      <c r="G532" s="3" t="s">
        <v>463</v>
      </c>
      <c r="H532">
        <v>1</v>
      </c>
      <c r="I532">
        <v>3477</v>
      </c>
      <c r="J532">
        <v>3477</v>
      </c>
    </row>
    <row r="533" spans="1:10" x14ac:dyDescent="0.2">
      <c r="A533" s="3" t="s">
        <v>989</v>
      </c>
      <c r="B533" s="5">
        <v>45117</v>
      </c>
      <c r="C533" s="3" t="s">
        <v>57</v>
      </c>
      <c r="D533" s="3" t="s">
        <v>967</v>
      </c>
      <c r="E533" s="3" t="str">
        <f>VLOOKUP(ventas[[#This Row],[ID Producto]],productos[#All],3,FALSE)</f>
        <v>Lácteos</v>
      </c>
      <c r="F533" s="10" t="s">
        <v>9</v>
      </c>
      <c r="G533" s="3" t="s">
        <v>463</v>
      </c>
      <c r="H533">
        <v>9</v>
      </c>
      <c r="I533">
        <v>3477</v>
      </c>
      <c r="J533">
        <v>31293</v>
      </c>
    </row>
    <row r="534" spans="1:10" x14ac:dyDescent="0.2">
      <c r="A534" s="3" t="s">
        <v>990</v>
      </c>
      <c r="B534" s="5">
        <v>45149</v>
      </c>
      <c r="C534" s="3" t="s">
        <v>263</v>
      </c>
      <c r="D534" s="3" t="s">
        <v>967</v>
      </c>
      <c r="E534" s="3" t="str">
        <f>VLOOKUP(ventas[[#This Row],[ID Producto]],productos[#All],3,FALSE)</f>
        <v>Lácteos</v>
      </c>
      <c r="F534" s="9" t="s">
        <v>15</v>
      </c>
      <c r="G534" s="3" t="s">
        <v>456</v>
      </c>
      <c r="H534">
        <v>1</v>
      </c>
      <c r="I534">
        <v>3477</v>
      </c>
      <c r="J534">
        <v>3477</v>
      </c>
    </row>
    <row r="535" spans="1:10" x14ac:dyDescent="0.2">
      <c r="A535" s="3" t="s">
        <v>991</v>
      </c>
      <c r="B535" s="5">
        <v>44939</v>
      </c>
      <c r="C535" s="3" t="s">
        <v>187</v>
      </c>
      <c r="D535" s="3" t="s">
        <v>967</v>
      </c>
      <c r="E535" s="3" t="str">
        <f>VLOOKUP(ventas[[#This Row],[ID Producto]],productos[#All],3,FALSE)</f>
        <v>Lácteos</v>
      </c>
      <c r="F535" s="9" t="s">
        <v>9</v>
      </c>
      <c r="G535" s="3" t="s">
        <v>453</v>
      </c>
      <c r="H535">
        <v>9</v>
      </c>
      <c r="I535">
        <v>3477</v>
      </c>
      <c r="J535">
        <v>31293</v>
      </c>
    </row>
    <row r="536" spans="1:10" x14ac:dyDescent="0.2">
      <c r="A536" s="3" t="s">
        <v>992</v>
      </c>
      <c r="B536" s="5">
        <v>44986</v>
      </c>
      <c r="C536" s="3" t="s">
        <v>307</v>
      </c>
      <c r="D536" s="3" t="s">
        <v>967</v>
      </c>
      <c r="E536" s="3" t="str">
        <f>VLOOKUP(ventas[[#This Row],[ID Producto]],productos[#All],3,FALSE)</f>
        <v>Lácteos</v>
      </c>
      <c r="F536" s="9" t="s">
        <v>11</v>
      </c>
      <c r="G536" s="3" t="s">
        <v>456</v>
      </c>
      <c r="H536">
        <v>6</v>
      </c>
      <c r="I536">
        <v>3477</v>
      </c>
      <c r="J536">
        <v>20862</v>
      </c>
    </row>
    <row r="537" spans="1:10" x14ac:dyDescent="0.2">
      <c r="A537" s="3" t="s">
        <v>993</v>
      </c>
      <c r="B537" s="5">
        <v>45070</v>
      </c>
      <c r="C537" s="3" t="s">
        <v>127</v>
      </c>
      <c r="D537" s="3" t="s">
        <v>967</v>
      </c>
      <c r="E537" s="3" t="str">
        <f>VLOOKUP(ventas[[#This Row],[ID Producto]],productos[#All],3,FALSE)</f>
        <v>Lácteos</v>
      </c>
      <c r="F537" s="10" t="s">
        <v>9</v>
      </c>
      <c r="G537" s="3" t="s">
        <v>453</v>
      </c>
      <c r="H537">
        <v>6</v>
      </c>
      <c r="I537">
        <v>3477</v>
      </c>
      <c r="J537">
        <v>20862</v>
      </c>
    </row>
    <row r="538" spans="1:10" x14ac:dyDescent="0.2">
      <c r="A538" s="3" t="s">
        <v>994</v>
      </c>
      <c r="B538" s="5">
        <v>45080</v>
      </c>
      <c r="C538" s="3" t="s">
        <v>243</v>
      </c>
      <c r="D538" s="3" t="s">
        <v>967</v>
      </c>
      <c r="E538" s="3" t="str">
        <f>VLOOKUP(ventas[[#This Row],[ID Producto]],productos[#All],3,FALSE)</f>
        <v>Lácteos</v>
      </c>
      <c r="F538" s="10" t="s">
        <v>9</v>
      </c>
      <c r="G538" s="3" t="s">
        <v>456</v>
      </c>
      <c r="H538">
        <v>7</v>
      </c>
      <c r="I538">
        <v>3477</v>
      </c>
      <c r="J538">
        <v>24339</v>
      </c>
    </row>
    <row r="539" spans="1:10" x14ac:dyDescent="0.2">
      <c r="A539" s="3" t="s">
        <v>995</v>
      </c>
      <c r="B539" s="5">
        <v>45215</v>
      </c>
      <c r="C539" s="3" t="s">
        <v>207</v>
      </c>
      <c r="D539" s="3" t="s">
        <v>967</v>
      </c>
      <c r="E539" s="3" t="str">
        <f>VLOOKUP(ventas[[#This Row],[ID Producto]],productos[#All],3,FALSE)</f>
        <v>Lácteos</v>
      </c>
      <c r="F539" s="9" t="s">
        <v>15</v>
      </c>
      <c r="G539" s="3" t="s">
        <v>463</v>
      </c>
      <c r="H539">
        <v>7</v>
      </c>
      <c r="I539">
        <v>3477</v>
      </c>
      <c r="J539">
        <v>24339</v>
      </c>
    </row>
    <row r="540" spans="1:10" x14ac:dyDescent="0.2">
      <c r="A540" s="3" t="s">
        <v>996</v>
      </c>
      <c r="B540" s="5">
        <v>45148</v>
      </c>
      <c r="C540" s="3" t="s">
        <v>63</v>
      </c>
      <c r="D540" s="3" t="s">
        <v>967</v>
      </c>
      <c r="E540" s="3" t="str">
        <f>VLOOKUP(ventas[[#This Row],[ID Producto]],productos[#All],3,FALSE)</f>
        <v>Lácteos</v>
      </c>
      <c r="F540" s="9" t="s">
        <v>9</v>
      </c>
      <c r="G540" s="3" t="s">
        <v>463</v>
      </c>
      <c r="H540">
        <v>9</v>
      </c>
      <c r="I540">
        <v>3477</v>
      </c>
      <c r="J540">
        <v>31293</v>
      </c>
    </row>
    <row r="541" spans="1:10" x14ac:dyDescent="0.2">
      <c r="A541" s="3" t="s">
        <v>997</v>
      </c>
      <c r="B541" s="5">
        <v>45249</v>
      </c>
      <c r="C541" s="3" t="s">
        <v>191</v>
      </c>
      <c r="D541" s="3" t="s">
        <v>967</v>
      </c>
      <c r="E541" s="3" t="str">
        <f>VLOOKUP(ventas[[#This Row],[ID Producto]],productos[#All],3,FALSE)</f>
        <v>Lácteos</v>
      </c>
      <c r="F541" s="9" t="s">
        <v>11</v>
      </c>
      <c r="G541" s="3" t="s">
        <v>453</v>
      </c>
      <c r="H541">
        <v>9</v>
      </c>
      <c r="I541">
        <v>3477</v>
      </c>
      <c r="J541">
        <v>31293</v>
      </c>
    </row>
    <row r="542" spans="1:10" x14ac:dyDescent="0.2">
      <c r="A542" s="3" t="s">
        <v>998</v>
      </c>
      <c r="B542" s="5">
        <v>44991</v>
      </c>
      <c r="C542" s="3" t="s">
        <v>165</v>
      </c>
      <c r="D542" s="3" t="s">
        <v>967</v>
      </c>
      <c r="E542" s="3" t="str">
        <f>VLOOKUP(ventas[[#This Row],[ID Producto]],productos[#All],3,FALSE)</f>
        <v>Lácteos</v>
      </c>
      <c r="F542" s="10" t="s">
        <v>9</v>
      </c>
      <c r="G542" s="3" t="s">
        <v>456</v>
      </c>
      <c r="H542">
        <v>1</v>
      </c>
      <c r="I542">
        <v>3477</v>
      </c>
      <c r="J542">
        <v>3477</v>
      </c>
    </row>
    <row r="543" spans="1:10" x14ac:dyDescent="0.2">
      <c r="A543" s="3" t="s">
        <v>999</v>
      </c>
      <c r="B543" s="5">
        <v>45228</v>
      </c>
      <c r="C543" s="3" t="s">
        <v>75</v>
      </c>
      <c r="D543" s="3" t="s">
        <v>967</v>
      </c>
      <c r="E543" s="3" t="str">
        <f>VLOOKUP(ventas[[#This Row],[ID Producto]],productos[#All],3,FALSE)</f>
        <v>Lácteos</v>
      </c>
      <c r="F543" s="10" t="s">
        <v>9</v>
      </c>
      <c r="G543" s="3" t="s">
        <v>456</v>
      </c>
      <c r="H543">
        <v>3</v>
      </c>
      <c r="I543">
        <v>3477</v>
      </c>
      <c r="J543">
        <v>10431</v>
      </c>
    </row>
    <row r="544" spans="1:10" x14ac:dyDescent="0.2">
      <c r="A544" s="3" t="s">
        <v>1000</v>
      </c>
      <c r="B544" s="5">
        <v>44962</v>
      </c>
      <c r="C544" s="3" t="s">
        <v>435</v>
      </c>
      <c r="D544" s="3" t="s">
        <v>967</v>
      </c>
      <c r="E544" s="3" t="str">
        <f>VLOOKUP(ventas[[#This Row],[ID Producto]],productos[#All],3,FALSE)</f>
        <v>Lácteos</v>
      </c>
      <c r="F544" s="9" t="s">
        <v>15</v>
      </c>
      <c r="G544" s="3" t="s">
        <v>463</v>
      </c>
      <c r="H544">
        <v>9</v>
      </c>
      <c r="I544">
        <v>3477</v>
      </c>
      <c r="J544">
        <v>31293</v>
      </c>
    </row>
    <row r="545" spans="1:10" x14ac:dyDescent="0.2">
      <c r="A545" s="3" t="s">
        <v>1001</v>
      </c>
      <c r="B545" s="5">
        <v>44963</v>
      </c>
      <c r="C545" s="3" t="s">
        <v>329</v>
      </c>
      <c r="D545" s="3" t="s">
        <v>967</v>
      </c>
      <c r="E545" s="3" t="str">
        <f>VLOOKUP(ventas[[#This Row],[ID Producto]],productos[#All],3,FALSE)</f>
        <v>Lácteos</v>
      </c>
      <c r="F545" s="9" t="s">
        <v>9</v>
      </c>
      <c r="G545" s="3" t="s">
        <v>463</v>
      </c>
      <c r="H545">
        <v>9</v>
      </c>
      <c r="I545">
        <v>3477</v>
      </c>
      <c r="J545">
        <v>31293</v>
      </c>
    </row>
    <row r="546" spans="1:10" x14ac:dyDescent="0.2">
      <c r="A546" s="3" t="s">
        <v>1002</v>
      </c>
      <c r="B546" s="5">
        <v>45000</v>
      </c>
      <c r="C546" s="3" t="s">
        <v>139</v>
      </c>
      <c r="D546" s="3" t="s">
        <v>967</v>
      </c>
      <c r="E546" s="3" t="str">
        <f>VLOOKUP(ventas[[#This Row],[ID Producto]],productos[#All],3,FALSE)</f>
        <v>Lácteos</v>
      </c>
      <c r="F546" s="9" t="s">
        <v>11</v>
      </c>
      <c r="G546" s="3" t="s">
        <v>463</v>
      </c>
      <c r="H546">
        <v>3</v>
      </c>
      <c r="I546">
        <v>3477</v>
      </c>
      <c r="J546">
        <v>10431</v>
      </c>
    </row>
    <row r="547" spans="1:10" x14ac:dyDescent="0.2">
      <c r="A547" s="3" t="s">
        <v>1003</v>
      </c>
      <c r="B547" s="5">
        <v>44996</v>
      </c>
      <c r="C547" s="3" t="s">
        <v>57</v>
      </c>
      <c r="D547" s="3" t="s">
        <v>967</v>
      </c>
      <c r="E547" s="3" t="str">
        <f>VLOOKUP(ventas[[#This Row],[ID Producto]],productos[#All],3,FALSE)</f>
        <v>Lácteos</v>
      </c>
      <c r="F547" s="10" t="s">
        <v>9</v>
      </c>
      <c r="G547" s="3" t="s">
        <v>463</v>
      </c>
      <c r="H547">
        <v>2</v>
      </c>
      <c r="I547">
        <v>3477</v>
      </c>
      <c r="J547">
        <v>6954</v>
      </c>
    </row>
    <row r="548" spans="1:10" x14ac:dyDescent="0.2">
      <c r="A548" s="3" t="s">
        <v>1004</v>
      </c>
      <c r="B548" s="5">
        <v>45178</v>
      </c>
      <c r="C548" s="3" t="s">
        <v>155</v>
      </c>
      <c r="D548" s="3" t="s">
        <v>967</v>
      </c>
      <c r="E548" s="3" t="str">
        <f>VLOOKUP(ventas[[#This Row],[ID Producto]],productos[#All],3,FALSE)</f>
        <v>Lácteos</v>
      </c>
      <c r="F548" s="10" t="s">
        <v>9</v>
      </c>
      <c r="G548" s="3" t="s">
        <v>453</v>
      </c>
      <c r="H548">
        <v>1</v>
      </c>
      <c r="I548">
        <v>3477</v>
      </c>
      <c r="J548">
        <v>3477</v>
      </c>
    </row>
    <row r="549" spans="1:10" x14ac:dyDescent="0.2">
      <c r="A549" s="3" t="s">
        <v>1005</v>
      </c>
      <c r="B549" s="5">
        <v>45128</v>
      </c>
      <c r="C549" s="3" t="s">
        <v>291</v>
      </c>
      <c r="D549" s="3" t="s">
        <v>967</v>
      </c>
      <c r="E549" s="3" t="str">
        <f>VLOOKUP(ventas[[#This Row],[ID Producto]],productos[#All],3,FALSE)</f>
        <v>Lácteos</v>
      </c>
      <c r="F549" s="9" t="s">
        <v>15</v>
      </c>
      <c r="G549" s="3" t="s">
        <v>463</v>
      </c>
      <c r="H549">
        <v>1</v>
      </c>
      <c r="I549">
        <v>3477</v>
      </c>
      <c r="J549">
        <v>3477</v>
      </c>
    </row>
    <row r="550" spans="1:10" x14ac:dyDescent="0.2">
      <c r="A550" s="3" t="s">
        <v>1006</v>
      </c>
      <c r="B550" s="5">
        <v>45071</v>
      </c>
      <c r="C550" s="3" t="s">
        <v>231</v>
      </c>
      <c r="D550" s="3" t="s">
        <v>967</v>
      </c>
      <c r="E550" s="3" t="str">
        <f>VLOOKUP(ventas[[#This Row],[ID Producto]],productos[#All],3,FALSE)</f>
        <v>Lácteos</v>
      </c>
      <c r="F550" s="9" t="s">
        <v>9</v>
      </c>
      <c r="G550" s="3" t="s">
        <v>463</v>
      </c>
      <c r="H550">
        <v>4</v>
      </c>
      <c r="I550">
        <v>3477</v>
      </c>
      <c r="J550">
        <v>13908</v>
      </c>
    </row>
    <row r="551" spans="1:10" x14ac:dyDescent="0.2">
      <c r="A551" s="3" t="s">
        <v>1007</v>
      </c>
      <c r="B551" s="5">
        <v>45168</v>
      </c>
      <c r="C551" s="3" t="s">
        <v>379</v>
      </c>
      <c r="D551" s="3" t="s">
        <v>967</v>
      </c>
      <c r="E551" s="3" t="str">
        <f>VLOOKUP(ventas[[#This Row],[ID Producto]],productos[#All],3,FALSE)</f>
        <v>Lácteos</v>
      </c>
      <c r="F551" s="9" t="s">
        <v>11</v>
      </c>
      <c r="G551" s="3" t="s">
        <v>463</v>
      </c>
      <c r="H551">
        <v>6</v>
      </c>
      <c r="I551">
        <v>3477</v>
      </c>
      <c r="J551">
        <v>20862</v>
      </c>
    </row>
    <row r="552" spans="1:10" x14ac:dyDescent="0.2">
      <c r="A552" s="3" t="s">
        <v>1008</v>
      </c>
      <c r="B552" s="5">
        <v>44989</v>
      </c>
      <c r="C552" s="3" t="s">
        <v>125</v>
      </c>
      <c r="D552" s="3" t="s">
        <v>967</v>
      </c>
      <c r="E552" s="3" t="str">
        <f>VLOOKUP(ventas[[#This Row],[ID Producto]],productos[#All],3,FALSE)</f>
        <v>Lácteos</v>
      </c>
      <c r="F552" s="10" t="s">
        <v>9</v>
      </c>
      <c r="G552" s="3" t="s">
        <v>453</v>
      </c>
      <c r="H552">
        <v>6</v>
      </c>
      <c r="I552">
        <v>3477</v>
      </c>
      <c r="J552">
        <v>20862</v>
      </c>
    </row>
    <row r="553" spans="1:10" x14ac:dyDescent="0.2">
      <c r="A553" s="3" t="s">
        <v>1009</v>
      </c>
      <c r="B553" s="5">
        <v>45268</v>
      </c>
      <c r="C553" s="3" t="s">
        <v>211</v>
      </c>
      <c r="D553" s="3" t="s">
        <v>967</v>
      </c>
      <c r="E553" s="3" t="str">
        <f>VLOOKUP(ventas[[#This Row],[ID Producto]],productos[#All],3,FALSE)</f>
        <v>Lácteos</v>
      </c>
      <c r="F553" s="10" t="s">
        <v>9</v>
      </c>
      <c r="G553" s="3" t="s">
        <v>463</v>
      </c>
      <c r="H553">
        <v>3</v>
      </c>
      <c r="I553">
        <v>3477</v>
      </c>
      <c r="J553">
        <v>10431</v>
      </c>
    </row>
    <row r="554" spans="1:10" x14ac:dyDescent="0.2">
      <c r="A554" s="3" t="s">
        <v>1010</v>
      </c>
      <c r="B554" s="5">
        <v>45059</v>
      </c>
      <c r="C554" s="3" t="s">
        <v>81</v>
      </c>
      <c r="D554" s="3" t="s">
        <v>967</v>
      </c>
      <c r="E554" s="3" t="str">
        <f>VLOOKUP(ventas[[#This Row],[ID Producto]],productos[#All],3,FALSE)</f>
        <v>Lácteos</v>
      </c>
      <c r="F554" s="9" t="s">
        <v>15</v>
      </c>
      <c r="G554" s="3" t="s">
        <v>453</v>
      </c>
      <c r="H554">
        <v>4</v>
      </c>
      <c r="I554">
        <v>3477</v>
      </c>
      <c r="J554">
        <v>13908</v>
      </c>
    </row>
    <row r="555" spans="1:10" x14ac:dyDescent="0.2">
      <c r="A555" s="3" t="s">
        <v>1011</v>
      </c>
      <c r="B555" s="5">
        <v>45091</v>
      </c>
      <c r="C555" s="3" t="s">
        <v>223</v>
      </c>
      <c r="D555" s="3" t="s">
        <v>967</v>
      </c>
      <c r="E555" s="3" t="str">
        <f>VLOOKUP(ventas[[#This Row],[ID Producto]],productos[#All],3,FALSE)</f>
        <v>Lácteos</v>
      </c>
      <c r="F555" s="9" t="s">
        <v>9</v>
      </c>
      <c r="G555" s="3" t="s">
        <v>463</v>
      </c>
      <c r="H555">
        <v>6</v>
      </c>
      <c r="I555">
        <v>3477</v>
      </c>
      <c r="J555">
        <v>20862</v>
      </c>
    </row>
    <row r="556" spans="1:10" x14ac:dyDescent="0.2">
      <c r="A556" s="3" t="s">
        <v>1012</v>
      </c>
      <c r="B556" s="5">
        <v>44927</v>
      </c>
      <c r="C556" s="3" t="s">
        <v>195</v>
      </c>
      <c r="D556" s="3" t="s">
        <v>967</v>
      </c>
      <c r="E556" s="3" t="str">
        <f>VLOOKUP(ventas[[#This Row],[ID Producto]],productos[#All],3,FALSE)</f>
        <v>Lácteos</v>
      </c>
      <c r="F556" s="9" t="s">
        <v>11</v>
      </c>
      <c r="G556" s="3" t="s">
        <v>463</v>
      </c>
      <c r="H556">
        <v>5</v>
      </c>
      <c r="I556">
        <v>3477</v>
      </c>
      <c r="J556">
        <v>17385</v>
      </c>
    </row>
    <row r="557" spans="1:10" x14ac:dyDescent="0.2">
      <c r="A557" s="3" t="s">
        <v>1013</v>
      </c>
      <c r="B557" s="5">
        <v>45080</v>
      </c>
      <c r="C557" s="3" t="s">
        <v>431</v>
      </c>
      <c r="D557" s="3" t="s">
        <v>967</v>
      </c>
      <c r="E557" s="3" t="str">
        <f>VLOOKUP(ventas[[#This Row],[ID Producto]],productos[#All],3,FALSE)</f>
        <v>Lácteos</v>
      </c>
      <c r="F557" s="10" t="s">
        <v>9</v>
      </c>
      <c r="G557" s="3" t="s">
        <v>463</v>
      </c>
      <c r="H557">
        <v>8</v>
      </c>
      <c r="I557">
        <v>3477</v>
      </c>
      <c r="J557">
        <v>27816</v>
      </c>
    </row>
    <row r="558" spans="1:10" x14ac:dyDescent="0.2">
      <c r="A558" s="3" t="s">
        <v>1014</v>
      </c>
      <c r="B558" s="5">
        <v>45185</v>
      </c>
      <c r="C558" s="3" t="s">
        <v>337</v>
      </c>
      <c r="D558" s="3" t="s">
        <v>967</v>
      </c>
      <c r="E558" s="3" t="str">
        <f>VLOOKUP(ventas[[#This Row],[ID Producto]],productos[#All],3,FALSE)</f>
        <v>Lácteos</v>
      </c>
      <c r="F558" s="10" t="s">
        <v>9</v>
      </c>
      <c r="G558" s="3" t="s">
        <v>456</v>
      </c>
      <c r="H558">
        <v>7</v>
      </c>
      <c r="I558">
        <v>3477</v>
      </c>
      <c r="J558">
        <v>24339</v>
      </c>
    </row>
    <row r="559" spans="1:10" x14ac:dyDescent="0.2">
      <c r="A559" s="3" t="s">
        <v>1015</v>
      </c>
      <c r="B559" s="5">
        <v>45155</v>
      </c>
      <c r="C559" s="3" t="s">
        <v>407</v>
      </c>
      <c r="D559" s="3" t="s">
        <v>967</v>
      </c>
      <c r="E559" s="3" t="str">
        <f>VLOOKUP(ventas[[#This Row],[ID Producto]],productos[#All],3,FALSE)</f>
        <v>Lácteos</v>
      </c>
      <c r="F559" s="9" t="s">
        <v>15</v>
      </c>
      <c r="G559" s="3" t="s">
        <v>456</v>
      </c>
      <c r="H559">
        <v>7</v>
      </c>
      <c r="I559">
        <v>3477</v>
      </c>
      <c r="J559">
        <v>24339</v>
      </c>
    </row>
    <row r="560" spans="1:10" x14ac:dyDescent="0.2">
      <c r="A560" s="3" t="s">
        <v>1016</v>
      </c>
      <c r="B560" s="5">
        <v>45052</v>
      </c>
      <c r="C560" s="3" t="s">
        <v>89</v>
      </c>
      <c r="D560" s="3" t="s">
        <v>967</v>
      </c>
      <c r="E560" s="3" t="str">
        <f>VLOOKUP(ventas[[#This Row],[ID Producto]],productos[#All],3,FALSE)</f>
        <v>Lácteos</v>
      </c>
      <c r="F560" s="9" t="s">
        <v>9</v>
      </c>
      <c r="G560" s="3" t="s">
        <v>453</v>
      </c>
      <c r="H560">
        <v>4</v>
      </c>
      <c r="I560">
        <v>3477</v>
      </c>
      <c r="J560">
        <v>13908</v>
      </c>
    </row>
    <row r="561" spans="1:10" x14ac:dyDescent="0.2">
      <c r="A561" s="3" t="s">
        <v>1017</v>
      </c>
      <c r="B561" s="5">
        <v>44969</v>
      </c>
      <c r="C561" s="3" t="s">
        <v>249</v>
      </c>
      <c r="D561" s="3" t="s">
        <v>967</v>
      </c>
      <c r="E561" s="3" t="str">
        <f>VLOOKUP(ventas[[#This Row],[ID Producto]],productos[#All],3,FALSE)</f>
        <v>Lácteos</v>
      </c>
      <c r="F561" s="9" t="s">
        <v>11</v>
      </c>
      <c r="G561" s="3" t="s">
        <v>463</v>
      </c>
      <c r="H561">
        <v>6</v>
      </c>
      <c r="I561">
        <v>3477</v>
      </c>
      <c r="J561">
        <v>20862</v>
      </c>
    </row>
    <row r="562" spans="1:10" x14ac:dyDescent="0.2">
      <c r="A562" s="3" t="s">
        <v>1018</v>
      </c>
      <c r="B562" s="5">
        <v>45262</v>
      </c>
      <c r="C562" s="3" t="s">
        <v>441</v>
      </c>
      <c r="D562" s="3" t="s">
        <v>967</v>
      </c>
      <c r="E562" s="3" t="str">
        <f>VLOOKUP(ventas[[#This Row],[ID Producto]],productos[#All],3,FALSE)</f>
        <v>Lácteos</v>
      </c>
      <c r="F562" s="10" t="s">
        <v>9</v>
      </c>
      <c r="G562" s="3" t="s">
        <v>453</v>
      </c>
      <c r="H562">
        <v>7</v>
      </c>
      <c r="I562">
        <v>3477</v>
      </c>
      <c r="J562">
        <v>24339</v>
      </c>
    </row>
    <row r="563" spans="1:10" x14ac:dyDescent="0.2">
      <c r="A563" s="3" t="s">
        <v>1019</v>
      </c>
      <c r="B563" s="5">
        <v>45121</v>
      </c>
      <c r="C563" s="3" t="s">
        <v>77</v>
      </c>
      <c r="D563" s="3" t="s">
        <v>967</v>
      </c>
      <c r="E563" s="3" t="str">
        <f>VLOOKUP(ventas[[#This Row],[ID Producto]],productos[#All],3,FALSE)</f>
        <v>Lácteos</v>
      </c>
      <c r="F563" s="10" t="s">
        <v>9</v>
      </c>
      <c r="G563" s="3" t="s">
        <v>463</v>
      </c>
      <c r="H563">
        <v>8</v>
      </c>
      <c r="I563">
        <v>3477</v>
      </c>
      <c r="J563">
        <v>27816</v>
      </c>
    </row>
    <row r="564" spans="1:10" x14ac:dyDescent="0.2">
      <c r="A564" s="3" t="s">
        <v>1020</v>
      </c>
      <c r="B564" s="5">
        <v>45252</v>
      </c>
      <c r="C564" s="3" t="s">
        <v>233</v>
      </c>
      <c r="D564" s="3" t="s">
        <v>967</v>
      </c>
      <c r="E564" s="3" t="str">
        <f>VLOOKUP(ventas[[#This Row],[ID Producto]],productos[#All],3,FALSE)</f>
        <v>Lácteos</v>
      </c>
      <c r="F564" s="9" t="s">
        <v>15</v>
      </c>
      <c r="G564" s="3" t="s">
        <v>463</v>
      </c>
      <c r="H564">
        <v>2</v>
      </c>
      <c r="I564">
        <v>3477</v>
      </c>
      <c r="J564">
        <v>6954</v>
      </c>
    </row>
    <row r="565" spans="1:10" x14ac:dyDescent="0.2">
      <c r="A565" s="3" t="s">
        <v>1021</v>
      </c>
      <c r="B565" s="5">
        <v>45272</v>
      </c>
      <c r="C565" s="3" t="s">
        <v>395</v>
      </c>
      <c r="D565" s="3" t="s">
        <v>967</v>
      </c>
      <c r="E565" s="3" t="str">
        <f>VLOOKUP(ventas[[#This Row],[ID Producto]],productos[#All],3,FALSE)</f>
        <v>Lácteos</v>
      </c>
      <c r="F565" s="9" t="s">
        <v>9</v>
      </c>
      <c r="G565" s="3" t="s">
        <v>456</v>
      </c>
      <c r="H565">
        <v>7</v>
      </c>
      <c r="I565">
        <v>3477</v>
      </c>
      <c r="J565">
        <v>24339</v>
      </c>
    </row>
    <row r="566" spans="1:10" x14ac:dyDescent="0.2">
      <c r="A566" s="3" t="s">
        <v>1022</v>
      </c>
      <c r="B566" s="5">
        <v>45106</v>
      </c>
      <c r="C566" s="3" t="s">
        <v>223</v>
      </c>
      <c r="D566" s="3" t="s">
        <v>967</v>
      </c>
      <c r="E566" s="3" t="str">
        <f>VLOOKUP(ventas[[#This Row],[ID Producto]],productos[#All],3,FALSE)</f>
        <v>Lácteos</v>
      </c>
      <c r="F566" s="9" t="s">
        <v>11</v>
      </c>
      <c r="G566" s="3" t="s">
        <v>463</v>
      </c>
      <c r="H566">
        <v>7</v>
      </c>
      <c r="I566">
        <v>3477</v>
      </c>
      <c r="J566">
        <v>24339</v>
      </c>
    </row>
    <row r="567" spans="1:10" x14ac:dyDescent="0.2">
      <c r="A567" s="3" t="s">
        <v>1023</v>
      </c>
      <c r="B567" s="5">
        <v>45138</v>
      </c>
      <c r="C567" s="3" t="s">
        <v>113</v>
      </c>
      <c r="D567" s="3" t="s">
        <v>967</v>
      </c>
      <c r="E567" s="3" t="str">
        <f>VLOOKUP(ventas[[#This Row],[ID Producto]],productos[#All],3,FALSE)</f>
        <v>Lácteos</v>
      </c>
      <c r="F567" s="10" t="s">
        <v>9</v>
      </c>
      <c r="G567" s="3" t="s">
        <v>456</v>
      </c>
      <c r="H567">
        <v>1</v>
      </c>
      <c r="I567">
        <v>3477</v>
      </c>
      <c r="J567">
        <v>3477</v>
      </c>
    </row>
    <row r="568" spans="1:10" x14ac:dyDescent="0.2">
      <c r="A568" s="3" t="s">
        <v>1024</v>
      </c>
      <c r="B568" s="5">
        <v>45276</v>
      </c>
      <c r="C568" s="3" t="s">
        <v>191</v>
      </c>
      <c r="D568" s="3" t="s">
        <v>967</v>
      </c>
      <c r="E568" s="3" t="str">
        <f>VLOOKUP(ventas[[#This Row],[ID Producto]],productos[#All],3,FALSE)</f>
        <v>Lácteos</v>
      </c>
      <c r="F568" s="10" t="s">
        <v>9</v>
      </c>
      <c r="G568" s="3" t="s">
        <v>453</v>
      </c>
      <c r="H568">
        <v>1</v>
      </c>
      <c r="I568">
        <v>3477</v>
      </c>
      <c r="J568">
        <v>3477</v>
      </c>
    </row>
    <row r="569" spans="1:10" x14ac:dyDescent="0.2">
      <c r="A569" s="3" t="s">
        <v>1025</v>
      </c>
      <c r="B569" s="5">
        <v>45059</v>
      </c>
      <c r="C569" s="3" t="s">
        <v>247</v>
      </c>
      <c r="D569" s="3" t="s">
        <v>967</v>
      </c>
      <c r="E569" s="3" t="str">
        <f>VLOOKUP(ventas[[#This Row],[ID Producto]],productos[#All],3,FALSE)</f>
        <v>Lácteos</v>
      </c>
      <c r="F569" s="9" t="s">
        <v>15</v>
      </c>
      <c r="G569" s="3" t="s">
        <v>453</v>
      </c>
      <c r="H569">
        <v>6</v>
      </c>
      <c r="I569">
        <v>3477</v>
      </c>
      <c r="J569">
        <v>20862</v>
      </c>
    </row>
    <row r="570" spans="1:10" x14ac:dyDescent="0.2">
      <c r="A570" s="3" t="s">
        <v>1026</v>
      </c>
      <c r="B570" s="5">
        <v>45068</v>
      </c>
      <c r="C570" s="3" t="s">
        <v>121</v>
      </c>
      <c r="D570" s="3" t="s">
        <v>967</v>
      </c>
      <c r="E570" s="3" t="str">
        <f>VLOOKUP(ventas[[#This Row],[ID Producto]],productos[#All],3,FALSE)</f>
        <v>Lácteos</v>
      </c>
      <c r="F570" s="9" t="s">
        <v>9</v>
      </c>
      <c r="G570" s="3" t="s">
        <v>453</v>
      </c>
      <c r="H570">
        <v>7</v>
      </c>
      <c r="I570">
        <v>3477</v>
      </c>
      <c r="J570">
        <v>24339</v>
      </c>
    </row>
    <row r="571" spans="1:10" x14ac:dyDescent="0.2">
      <c r="A571" s="3" t="s">
        <v>1027</v>
      </c>
      <c r="B571" s="5">
        <v>45282</v>
      </c>
      <c r="C571" s="3" t="s">
        <v>309</v>
      </c>
      <c r="D571" s="3" t="s">
        <v>967</v>
      </c>
      <c r="E571" s="3" t="str">
        <f>VLOOKUP(ventas[[#This Row],[ID Producto]],productos[#All],3,FALSE)</f>
        <v>Lácteos</v>
      </c>
      <c r="F571" s="9" t="s">
        <v>11</v>
      </c>
      <c r="G571" s="3" t="s">
        <v>456</v>
      </c>
      <c r="H571">
        <v>6</v>
      </c>
      <c r="I571">
        <v>3477</v>
      </c>
      <c r="J571">
        <v>20862</v>
      </c>
    </row>
    <row r="572" spans="1:10" x14ac:dyDescent="0.2">
      <c r="A572" s="3" t="s">
        <v>1028</v>
      </c>
      <c r="B572" s="5">
        <v>45286</v>
      </c>
      <c r="C572" s="3" t="s">
        <v>215</v>
      </c>
      <c r="D572" s="3" t="s">
        <v>1029</v>
      </c>
      <c r="E572" s="3" t="str">
        <f>VLOOKUP(ventas[[#This Row],[ID Producto]],productos[#All],3,FALSE)</f>
        <v>Limpieza</v>
      </c>
      <c r="F572" s="10" t="s">
        <v>9</v>
      </c>
      <c r="G572" s="3" t="s">
        <v>456</v>
      </c>
      <c r="H572">
        <v>2</v>
      </c>
      <c r="I572">
        <v>2274</v>
      </c>
      <c r="J572">
        <v>4548</v>
      </c>
    </row>
    <row r="573" spans="1:10" x14ac:dyDescent="0.2">
      <c r="A573" s="3" t="s">
        <v>1030</v>
      </c>
      <c r="B573" s="5">
        <v>45114</v>
      </c>
      <c r="C573" s="3" t="s">
        <v>281</v>
      </c>
      <c r="D573" s="3" t="s">
        <v>1029</v>
      </c>
      <c r="E573" s="3" t="str">
        <f>VLOOKUP(ventas[[#This Row],[ID Producto]],productos[#All],3,FALSE)</f>
        <v>Limpieza</v>
      </c>
      <c r="F573" s="10" t="s">
        <v>9</v>
      </c>
      <c r="G573" s="3" t="s">
        <v>463</v>
      </c>
      <c r="H573">
        <v>6</v>
      </c>
      <c r="I573">
        <v>2274</v>
      </c>
      <c r="J573">
        <v>13644</v>
      </c>
    </row>
    <row r="574" spans="1:10" x14ac:dyDescent="0.2">
      <c r="A574" s="3" t="s">
        <v>1031</v>
      </c>
      <c r="B574" s="5">
        <v>45055</v>
      </c>
      <c r="C574" s="3" t="s">
        <v>375</v>
      </c>
      <c r="D574" s="3" t="s">
        <v>1029</v>
      </c>
      <c r="E574" s="3" t="str">
        <f>VLOOKUP(ventas[[#This Row],[ID Producto]],productos[#All],3,FALSE)</f>
        <v>Limpieza</v>
      </c>
      <c r="F574" s="9" t="s">
        <v>15</v>
      </c>
      <c r="G574" s="3" t="s">
        <v>453</v>
      </c>
      <c r="H574">
        <v>3</v>
      </c>
      <c r="I574">
        <v>2274</v>
      </c>
      <c r="J574">
        <v>6822</v>
      </c>
    </row>
    <row r="575" spans="1:10" x14ac:dyDescent="0.2">
      <c r="A575" s="3" t="s">
        <v>1032</v>
      </c>
      <c r="B575" s="5">
        <v>45142</v>
      </c>
      <c r="C575" s="3" t="s">
        <v>329</v>
      </c>
      <c r="D575" s="3" t="s">
        <v>1029</v>
      </c>
      <c r="E575" s="3" t="str">
        <f>VLOOKUP(ventas[[#This Row],[ID Producto]],productos[#All],3,FALSE)</f>
        <v>Limpieza</v>
      </c>
      <c r="F575" s="9" t="s">
        <v>9</v>
      </c>
      <c r="G575" s="3" t="s">
        <v>463</v>
      </c>
      <c r="H575">
        <v>5</v>
      </c>
      <c r="I575">
        <v>2274</v>
      </c>
      <c r="J575">
        <v>1137</v>
      </c>
    </row>
    <row r="576" spans="1:10" x14ac:dyDescent="0.2">
      <c r="A576" s="3" t="s">
        <v>1033</v>
      </c>
      <c r="B576" s="5">
        <v>45098</v>
      </c>
      <c r="C576" s="3" t="s">
        <v>265</v>
      </c>
      <c r="D576" s="3" t="s">
        <v>1029</v>
      </c>
      <c r="E576" s="3" t="str">
        <f>VLOOKUP(ventas[[#This Row],[ID Producto]],productos[#All],3,FALSE)</f>
        <v>Limpieza</v>
      </c>
      <c r="F576" s="9" t="s">
        <v>11</v>
      </c>
      <c r="G576" s="3" t="s">
        <v>456</v>
      </c>
      <c r="H576">
        <v>9</v>
      </c>
      <c r="I576">
        <v>2274</v>
      </c>
      <c r="J576">
        <v>20466</v>
      </c>
    </row>
    <row r="577" spans="1:10" x14ac:dyDescent="0.2">
      <c r="A577" s="3" t="s">
        <v>1034</v>
      </c>
      <c r="B577" s="5">
        <v>45153</v>
      </c>
      <c r="C577" s="3" t="s">
        <v>361</v>
      </c>
      <c r="D577" s="3" t="s">
        <v>1029</v>
      </c>
      <c r="E577" s="3" t="str">
        <f>VLOOKUP(ventas[[#This Row],[ID Producto]],productos[#All],3,FALSE)</f>
        <v>Limpieza</v>
      </c>
      <c r="F577" s="10" t="s">
        <v>9</v>
      </c>
      <c r="G577" s="3" t="s">
        <v>463</v>
      </c>
      <c r="H577">
        <v>9</v>
      </c>
      <c r="I577">
        <v>2274</v>
      </c>
      <c r="J577">
        <v>20466</v>
      </c>
    </row>
    <row r="578" spans="1:10" x14ac:dyDescent="0.2">
      <c r="A578" s="3" t="s">
        <v>1035</v>
      </c>
      <c r="B578" s="5">
        <v>45285</v>
      </c>
      <c r="C578" s="3" t="s">
        <v>393</v>
      </c>
      <c r="D578" s="3" t="s">
        <v>1029</v>
      </c>
      <c r="E578" s="3" t="str">
        <f>VLOOKUP(ventas[[#This Row],[ID Producto]],productos[#All],3,FALSE)</f>
        <v>Limpieza</v>
      </c>
      <c r="F578" s="10" t="s">
        <v>9</v>
      </c>
      <c r="G578" s="3" t="s">
        <v>453</v>
      </c>
      <c r="H578">
        <v>3</v>
      </c>
      <c r="I578">
        <v>2274</v>
      </c>
      <c r="J578">
        <v>6822</v>
      </c>
    </row>
    <row r="579" spans="1:10" x14ac:dyDescent="0.2">
      <c r="A579" s="3" t="s">
        <v>1036</v>
      </c>
      <c r="B579" s="5">
        <v>44941</v>
      </c>
      <c r="C579" s="3" t="s">
        <v>237</v>
      </c>
      <c r="D579" s="3" t="s">
        <v>1029</v>
      </c>
      <c r="E579" s="3" t="str">
        <f>VLOOKUP(ventas[[#This Row],[ID Producto]],productos[#All],3,FALSE)</f>
        <v>Limpieza</v>
      </c>
      <c r="F579" s="9" t="s">
        <v>15</v>
      </c>
      <c r="G579" s="3" t="s">
        <v>456</v>
      </c>
      <c r="H579">
        <v>4</v>
      </c>
      <c r="I579">
        <v>2274</v>
      </c>
      <c r="J579">
        <v>9096</v>
      </c>
    </row>
    <row r="580" spans="1:10" x14ac:dyDescent="0.2">
      <c r="A580" s="3" t="s">
        <v>1037</v>
      </c>
      <c r="B580" s="5">
        <v>45157</v>
      </c>
      <c r="C580" s="3" t="s">
        <v>255</v>
      </c>
      <c r="D580" s="3" t="s">
        <v>1029</v>
      </c>
      <c r="E580" s="3" t="str">
        <f>VLOOKUP(ventas[[#This Row],[ID Producto]],productos[#All],3,FALSE)</f>
        <v>Limpieza</v>
      </c>
      <c r="F580" s="9" t="s">
        <v>9</v>
      </c>
      <c r="G580" s="3" t="s">
        <v>453</v>
      </c>
      <c r="H580">
        <v>9</v>
      </c>
      <c r="I580">
        <v>2274</v>
      </c>
      <c r="J580">
        <v>20466</v>
      </c>
    </row>
    <row r="581" spans="1:10" x14ac:dyDescent="0.2">
      <c r="A581" s="3" t="s">
        <v>1038</v>
      </c>
      <c r="B581" s="5">
        <v>45163</v>
      </c>
      <c r="C581" s="3" t="s">
        <v>123</v>
      </c>
      <c r="D581" s="3" t="s">
        <v>1029</v>
      </c>
      <c r="E581" s="3" t="str">
        <f>VLOOKUP(ventas[[#This Row],[ID Producto]],productos[#All],3,FALSE)</f>
        <v>Limpieza</v>
      </c>
      <c r="F581" s="9" t="s">
        <v>11</v>
      </c>
      <c r="G581" s="3" t="s">
        <v>456</v>
      </c>
      <c r="H581">
        <v>6</v>
      </c>
      <c r="I581">
        <v>2274</v>
      </c>
      <c r="J581">
        <v>13644</v>
      </c>
    </row>
    <row r="582" spans="1:10" x14ac:dyDescent="0.2">
      <c r="A582" s="3" t="s">
        <v>1039</v>
      </c>
      <c r="B582" s="5">
        <v>45034</v>
      </c>
      <c r="C582" s="3" t="s">
        <v>287</v>
      </c>
      <c r="D582" s="3" t="s">
        <v>1029</v>
      </c>
      <c r="E582" s="3" t="str">
        <f>VLOOKUP(ventas[[#This Row],[ID Producto]],productos[#All],3,FALSE)</f>
        <v>Limpieza</v>
      </c>
      <c r="F582" s="10" t="s">
        <v>9</v>
      </c>
      <c r="G582" s="3" t="s">
        <v>456</v>
      </c>
      <c r="H582">
        <v>9</v>
      </c>
      <c r="I582">
        <v>2274</v>
      </c>
      <c r="J582">
        <v>20466</v>
      </c>
    </row>
    <row r="583" spans="1:10" x14ac:dyDescent="0.2">
      <c r="A583" s="3" t="s">
        <v>1040</v>
      </c>
      <c r="B583" s="5">
        <v>45151</v>
      </c>
      <c r="C583" s="3" t="s">
        <v>267</v>
      </c>
      <c r="D583" s="3" t="s">
        <v>1029</v>
      </c>
      <c r="E583" s="3" t="str">
        <f>VLOOKUP(ventas[[#This Row],[ID Producto]],productos[#All],3,FALSE)</f>
        <v>Limpieza</v>
      </c>
      <c r="F583" s="10" t="s">
        <v>9</v>
      </c>
      <c r="G583" s="3" t="s">
        <v>456</v>
      </c>
      <c r="H583">
        <v>1</v>
      </c>
      <c r="I583">
        <v>2274</v>
      </c>
      <c r="J583">
        <v>2274</v>
      </c>
    </row>
    <row r="584" spans="1:10" x14ac:dyDescent="0.2">
      <c r="A584" s="3" t="s">
        <v>1041</v>
      </c>
      <c r="B584" s="5">
        <v>45070</v>
      </c>
      <c r="C584" s="3" t="s">
        <v>347</v>
      </c>
      <c r="D584" s="3" t="s">
        <v>1029</v>
      </c>
      <c r="E584" s="3" t="str">
        <f>VLOOKUP(ventas[[#This Row],[ID Producto]],productos[#All],3,FALSE)</f>
        <v>Limpieza</v>
      </c>
      <c r="F584" s="9" t="s">
        <v>15</v>
      </c>
      <c r="G584" s="3" t="s">
        <v>456</v>
      </c>
      <c r="H584">
        <v>2</v>
      </c>
      <c r="I584">
        <v>2274</v>
      </c>
      <c r="J584">
        <v>4548</v>
      </c>
    </row>
    <row r="585" spans="1:10" x14ac:dyDescent="0.2">
      <c r="A585" s="3" t="s">
        <v>1042</v>
      </c>
      <c r="B585" s="5">
        <v>45070</v>
      </c>
      <c r="C585" s="3" t="s">
        <v>145</v>
      </c>
      <c r="D585" s="3" t="s">
        <v>1029</v>
      </c>
      <c r="E585" s="3" t="str">
        <f>VLOOKUP(ventas[[#This Row],[ID Producto]],productos[#All],3,FALSE)</f>
        <v>Limpieza</v>
      </c>
      <c r="F585" s="9" t="s">
        <v>9</v>
      </c>
      <c r="G585" s="3" t="s">
        <v>463</v>
      </c>
      <c r="H585">
        <v>5</v>
      </c>
      <c r="I585">
        <v>2274</v>
      </c>
      <c r="J585">
        <v>1137</v>
      </c>
    </row>
    <row r="586" spans="1:10" x14ac:dyDescent="0.2">
      <c r="A586" s="3" t="s">
        <v>1043</v>
      </c>
      <c r="B586" s="5">
        <v>45089</v>
      </c>
      <c r="C586" s="3" t="s">
        <v>63</v>
      </c>
      <c r="D586" s="3" t="s">
        <v>1029</v>
      </c>
      <c r="E586" s="3" t="str">
        <f>VLOOKUP(ventas[[#This Row],[ID Producto]],productos[#All],3,FALSE)</f>
        <v>Limpieza</v>
      </c>
      <c r="F586" s="9" t="s">
        <v>11</v>
      </c>
      <c r="G586" s="3" t="s">
        <v>453</v>
      </c>
      <c r="H586">
        <v>9</v>
      </c>
      <c r="I586">
        <v>2274</v>
      </c>
      <c r="J586">
        <v>20466</v>
      </c>
    </row>
    <row r="587" spans="1:10" x14ac:dyDescent="0.2">
      <c r="A587" s="3" t="s">
        <v>1044</v>
      </c>
      <c r="B587" s="5">
        <v>45215</v>
      </c>
      <c r="C587" s="3" t="s">
        <v>191</v>
      </c>
      <c r="D587" s="3" t="s">
        <v>1029</v>
      </c>
      <c r="E587" s="3" t="str">
        <f>VLOOKUP(ventas[[#This Row],[ID Producto]],productos[#All],3,FALSE)</f>
        <v>Limpieza</v>
      </c>
      <c r="F587" s="10" t="s">
        <v>9</v>
      </c>
      <c r="G587" s="3" t="s">
        <v>463</v>
      </c>
      <c r="H587">
        <v>2</v>
      </c>
      <c r="I587">
        <v>2274</v>
      </c>
      <c r="J587">
        <v>4548</v>
      </c>
    </row>
    <row r="588" spans="1:10" x14ac:dyDescent="0.2">
      <c r="A588" s="3" t="s">
        <v>1045</v>
      </c>
      <c r="B588" s="5">
        <v>45054</v>
      </c>
      <c r="C588" s="3" t="s">
        <v>231</v>
      </c>
      <c r="D588" s="3" t="s">
        <v>1029</v>
      </c>
      <c r="E588" s="3" t="str">
        <f>VLOOKUP(ventas[[#This Row],[ID Producto]],productos[#All],3,FALSE)</f>
        <v>Limpieza</v>
      </c>
      <c r="F588" s="10" t="s">
        <v>9</v>
      </c>
      <c r="G588" s="3" t="s">
        <v>456</v>
      </c>
      <c r="H588">
        <v>6</v>
      </c>
      <c r="I588">
        <v>2274</v>
      </c>
      <c r="J588">
        <v>13644</v>
      </c>
    </row>
    <row r="589" spans="1:10" x14ac:dyDescent="0.2">
      <c r="A589" s="3" t="s">
        <v>1046</v>
      </c>
      <c r="B589" s="5">
        <v>44961</v>
      </c>
      <c r="C589" s="3" t="s">
        <v>217</v>
      </c>
      <c r="D589" s="3" t="s">
        <v>1029</v>
      </c>
      <c r="E589" s="3" t="str">
        <f>VLOOKUP(ventas[[#This Row],[ID Producto]],productos[#All],3,FALSE)</f>
        <v>Limpieza</v>
      </c>
      <c r="F589" s="9" t="s">
        <v>15</v>
      </c>
      <c r="G589" s="3" t="s">
        <v>456</v>
      </c>
      <c r="H589">
        <v>4</v>
      </c>
      <c r="I589">
        <v>2274</v>
      </c>
      <c r="J589">
        <v>9096</v>
      </c>
    </row>
    <row r="590" spans="1:10" x14ac:dyDescent="0.2">
      <c r="A590" s="3" t="s">
        <v>1047</v>
      </c>
      <c r="B590" s="5">
        <v>45268</v>
      </c>
      <c r="C590" s="3" t="s">
        <v>75</v>
      </c>
      <c r="D590" s="3" t="s">
        <v>1029</v>
      </c>
      <c r="E590" s="3" t="str">
        <f>VLOOKUP(ventas[[#This Row],[ID Producto]],productos[#All],3,FALSE)</f>
        <v>Limpieza</v>
      </c>
      <c r="F590" s="9" t="s">
        <v>9</v>
      </c>
      <c r="G590" s="3" t="s">
        <v>456</v>
      </c>
      <c r="H590">
        <v>9</v>
      </c>
      <c r="I590">
        <v>2274</v>
      </c>
      <c r="J590">
        <v>20466</v>
      </c>
    </row>
    <row r="591" spans="1:10" x14ac:dyDescent="0.2">
      <c r="A591" s="3" t="s">
        <v>1048</v>
      </c>
      <c r="B591" s="5">
        <v>45268</v>
      </c>
      <c r="C591" s="3" t="s">
        <v>153</v>
      </c>
      <c r="D591" s="3" t="s">
        <v>1029</v>
      </c>
      <c r="E591" s="3" t="str">
        <f>VLOOKUP(ventas[[#This Row],[ID Producto]],productos[#All],3,FALSE)</f>
        <v>Limpieza</v>
      </c>
      <c r="F591" s="9" t="s">
        <v>11</v>
      </c>
      <c r="G591" s="3" t="s">
        <v>456</v>
      </c>
      <c r="H591">
        <v>7</v>
      </c>
      <c r="I591">
        <v>2274</v>
      </c>
      <c r="J591">
        <v>15918</v>
      </c>
    </row>
    <row r="592" spans="1:10" x14ac:dyDescent="0.2">
      <c r="A592" s="3" t="s">
        <v>1049</v>
      </c>
      <c r="B592" s="5">
        <v>44931</v>
      </c>
      <c r="C592" s="3" t="s">
        <v>261</v>
      </c>
      <c r="D592" s="3" t="s">
        <v>1029</v>
      </c>
      <c r="E592" s="3" t="str">
        <f>VLOOKUP(ventas[[#This Row],[ID Producto]],productos[#All],3,FALSE)</f>
        <v>Limpieza</v>
      </c>
      <c r="F592" s="10" t="s">
        <v>9</v>
      </c>
      <c r="G592" s="3" t="s">
        <v>463</v>
      </c>
      <c r="H592">
        <v>4</v>
      </c>
      <c r="I592">
        <v>2274</v>
      </c>
      <c r="J592">
        <v>9096</v>
      </c>
    </row>
    <row r="593" spans="1:10" x14ac:dyDescent="0.2">
      <c r="A593" s="3" t="s">
        <v>1050</v>
      </c>
      <c r="B593" s="5">
        <v>45195</v>
      </c>
      <c r="C593" s="3" t="s">
        <v>69</v>
      </c>
      <c r="D593" s="3" t="s">
        <v>1029</v>
      </c>
      <c r="E593" s="3" t="str">
        <f>VLOOKUP(ventas[[#This Row],[ID Producto]],productos[#All],3,FALSE)</f>
        <v>Limpieza</v>
      </c>
      <c r="F593" s="10" t="s">
        <v>9</v>
      </c>
      <c r="G593" s="3" t="s">
        <v>463</v>
      </c>
      <c r="H593">
        <v>8</v>
      </c>
      <c r="I593">
        <v>2274</v>
      </c>
      <c r="J593">
        <v>18192</v>
      </c>
    </row>
    <row r="594" spans="1:10" x14ac:dyDescent="0.2">
      <c r="A594" s="3" t="s">
        <v>1051</v>
      </c>
      <c r="B594" s="5">
        <v>45043</v>
      </c>
      <c r="C594" s="3" t="s">
        <v>113</v>
      </c>
      <c r="D594" s="3" t="s">
        <v>1029</v>
      </c>
      <c r="E594" s="3" t="str">
        <f>VLOOKUP(ventas[[#This Row],[ID Producto]],productos[#All],3,FALSE)</f>
        <v>Limpieza</v>
      </c>
      <c r="F594" s="9" t="s">
        <v>15</v>
      </c>
      <c r="G594" s="3" t="s">
        <v>453</v>
      </c>
      <c r="H594">
        <v>1</v>
      </c>
      <c r="I594">
        <v>2274</v>
      </c>
      <c r="J594">
        <v>2274</v>
      </c>
    </row>
    <row r="595" spans="1:10" x14ac:dyDescent="0.2">
      <c r="A595" s="3" t="s">
        <v>1052</v>
      </c>
      <c r="B595" s="5">
        <v>45115</v>
      </c>
      <c r="C595" s="3" t="s">
        <v>125</v>
      </c>
      <c r="D595" s="3" t="s">
        <v>1029</v>
      </c>
      <c r="E595" s="3" t="str">
        <f>VLOOKUP(ventas[[#This Row],[ID Producto]],productos[#All],3,FALSE)</f>
        <v>Limpieza</v>
      </c>
      <c r="F595" s="9" t="s">
        <v>9</v>
      </c>
      <c r="G595" s="3" t="s">
        <v>456</v>
      </c>
      <c r="H595">
        <v>8</v>
      </c>
      <c r="I595">
        <v>2274</v>
      </c>
      <c r="J595">
        <v>18192</v>
      </c>
    </row>
    <row r="596" spans="1:10" x14ac:dyDescent="0.2">
      <c r="A596" s="3" t="s">
        <v>1053</v>
      </c>
      <c r="B596" s="5">
        <v>45204</v>
      </c>
      <c r="C596" s="3" t="s">
        <v>263</v>
      </c>
      <c r="D596" s="3" t="s">
        <v>1029</v>
      </c>
      <c r="E596" s="3" t="str">
        <f>VLOOKUP(ventas[[#This Row],[ID Producto]],productos[#All],3,FALSE)</f>
        <v>Limpieza</v>
      </c>
      <c r="F596" s="9" t="s">
        <v>11</v>
      </c>
      <c r="G596" s="3" t="s">
        <v>456</v>
      </c>
      <c r="H596">
        <v>7</v>
      </c>
      <c r="I596">
        <v>2274</v>
      </c>
      <c r="J596">
        <v>15918</v>
      </c>
    </row>
    <row r="597" spans="1:10" x14ac:dyDescent="0.2">
      <c r="A597" s="3" t="s">
        <v>1054</v>
      </c>
      <c r="B597" s="5">
        <v>45251</v>
      </c>
      <c r="C597" s="3" t="s">
        <v>97</v>
      </c>
      <c r="D597" s="3" t="s">
        <v>1029</v>
      </c>
      <c r="E597" s="3" t="str">
        <f>VLOOKUP(ventas[[#This Row],[ID Producto]],productos[#All],3,FALSE)</f>
        <v>Limpieza</v>
      </c>
      <c r="F597" s="10" t="s">
        <v>9</v>
      </c>
      <c r="G597" s="3" t="s">
        <v>463</v>
      </c>
      <c r="H597">
        <v>7</v>
      </c>
      <c r="I597">
        <v>2274</v>
      </c>
      <c r="J597">
        <v>15918</v>
      </c>
    </row>
    <row r="598" spans="1:10" x14ac:dyDescent="0.2">
      <c r="A598" s="3" t="s">
        <v>1055</v>
      </c>
      <c r="B598" s="5">
        <v>45206</v>
      </c>
      <c r="C598" s="3" t="s">
        <v>445</v>
      </c>
      <c r="D598" s="3" t="s">
        <v>1029</v>
      </c>
      <c r="E598" s="3" t="str">
        <f>VLOOKUP(ventas[[#This Row],[ID Producto]],productos[#All],3,FALSE)</f>
        <v>Limpieza</v>
      </c>
      <c r="F598" s="10" t="s">
        <v>9</v>
      </c>
      <c r="G598" s="3" t="s">
        <v>456</v>
      </c>
      <c r="H598">
        <v>1</v>
      </c>
      <c r="I598">
        <v>2274</v>
      </c>
      <c r="J598">
        <v>2274</v>
      </c>
    </row>
    <row r="599" spans="1:10" x14ac:dyDescent="0.2">
      <c r="A599" s="3" t="s">
        <v>1056</v>
      </c>
      <c r="B599" s="5">
        <v>44961</v>
      </c>
      <c r="C599" s="3" t="s">
        <v>263</v>
      </c>
      <c r="D599" s="3" t="s">
        <v>1029</v>
      </c>
      <c r="E599" s="3" t="str">
        <f>VLOOKUP(ventas[[#This Row],[ID Producto]],productos[#All],3,FALSE)</f>
        <v>Limpieza</v>
      </c>
      <c r="F599" s="9" t="s">
        <v>15</v>
      </c>
      <c r="G599" s="3" t="s">
        <v>453</v>
      </c>
      <c r="H599">
        <v>2</v>
      </c>
      <c r="I599">
        <v>2274</v>
      </c>
      <c r="J599">
        <v>4548</v>
      </c>
    </row>
    <row r="600" spans="1:10" x14ac:dyDescent="0.2">
      <c r="A600" s="3" t="s">
        <v>1057</v>
      </c>
      <c r="B600" s="5">
        <v>45283</v>
      </c>
      <c r="C600" s="3" t="s">
        <v>369</v>
      </c>
      <c r="D600" s="3" t="s">
        <v>1029</v>
      </c>
      <c r="E600" s="3" t="str">
        <f>VLOOKUP(ventas[[#This Row],[ID Producto]],productos[#All],3,FALSE)</f>
        <v>Limpieza</v>
      </c>
      <c r="F600" s="9" t="s">
        <v>9</v>
      </c>
      <c r="G600" s="3" t="s">
        <v>463</v>
      </c>
      <c r="H600">
        <v>9</v>
      </c>
      <c r="I600">
        <v>2274</v>
      </c>
      <c r="J600">
        <v>20466</v>
      </c>
    </row>
    <row r="601" spans="1:10" x14ac:dyDescent="0.2">
      <c r="A601" s="3" t="s">
        <v>1058</v>
      </c>
      <c r="B601" s="5">
        <v>45153</v>
      </c>
      <c r="C601" s="3" t="s">
        <v>387</v>
      </c>
      <c r="D601" s="3" t="s">
        <v>1029</v>
      </c>
      <c r="E601" s="3" t="str">
        <f>VLOOKUP(ventas[[#This Row],[ID Producto]],productos[#All],3,FALSE)</f>
        <v>Limpieza</v>
      </c>
      <c r="F601" s="9" t="s">
        <v>11</v>
      </c>
      <c r="G601" s="3" t="s">
        <v>463</v>
      </c>
      <c r="H601">
        <v>5</v>
      </c>
      <c r="I601">
        <v>2274</v>
      </c>
      <c r="J601">
        <v>1137</v>
      </c>
    </row>
    <row r="602" spans="1:10" x14ac:dyDescent="0.2">
      <c r="A602" s="3" t="s">
        <v>1059</v>
      </c>
      <c r="B602" s="5">
        <v>45205</v>
      </c>
      <c r="C602" s="3" t="s">
        <v>293</v>
      </c>
      <c r="D602" s="3" t="s">
        <v>1029</v>
      </c>
      <c r="E602" s="3" t="str">
        <f>VLOOKUP(ventas[[#This Row],[ID Producto]],productos[#All],3,FALSE)</f>
        <v>Limpieza</v>
      </c>
      <c r="F602" s="10" t="s">
        <v>9</v>
      </c>
      <c r="G602" s="3" t="s">
        <v>456</v>
      </c>
      <c r="H602">
        <v>9</v>
      </c>
      <c r="I602">
        <v>2274</v>
      </c>
      <c r="J602">
        <v>20466</v>
      </c>
    </row>
    <row r="603" spans="1:10" x14ac:dyDescent="0.2">
      <c r="A603" s="3" t="s">
        <v>1060</v>
      </c>
      <c r="B603" s="5">
        <v>45149</v>
      </c>
      <c r="C603" s="3" t="s">
        <v>393</v>
      </c>
      <c r="D603" s="3" t="s">
        <v>1029</v>
      </c>
      <c r="E603" s="3" t="str">
        <f>VLOOKUP(ventas[[#This Row],[ID Producto]],productos[#All],3,FALSE)</f>
        <v>Limpieza</v>
      </c>
      <c r="F603" s="10" t="s">
        <v>9</v>
      </c>
      <c r="G603" s="3" t="s">
        <v>463</v>
      </c>
      <c r="H603">
        <v>4</v>
      </c>
      <c r="I603">
        <v>2274</v>
      </c>
      <c r="J603">
        <v>9096</v>
      </c>
    </row>
    <row r="604" spans="1:10" x14ac:dyDescent="0.2">
      <c r="A604" s="3" t="s">
        <v>1061</v>
      </c>
      <c r="B604" s="5">
        <v>45227</v>
      </c>
      <c r="C604" s="3" t="s">
        <v>287</v>
      </c>
      <c r="D604" s="3" t="s">
        <v>1029</v>
      </c>
      <c r="E604" s="3" t="str">
        <f>VLOOKUP(ventas[[#This Row],[ID Producto]],productos[#All],3,FALSE)</f>
        <v>Limpieza</v>
      </c>
      <c r="F604" s="9" t="s">
        <v>15</v>
      </c>
      <c r="G604" s="3" t="s">
        <v>453</v>
      </c>
      <c r="H604">
        <v>2</v>
      </c>
      <c r="I604">
        <v>2274</v>
      </c>
      <c r="J604">
        <v>4548</v>
      </c>
    </row>
    <row r="605" spans="1:10" x14ac:dyDescent="0.2">
      <c r="A605" s="3" t="s">
        <v>1062</v>
      </c>
      <c r="B605" s="5">
        <v>45093</v>
      </c>
      <c r="C605" s="3" t="s">
        <v>245</v>
      </c>
      <c r="D605" s="3" t="s">
        <v>1029</v>
      </c>
      <c r="E605" s="3" t="str">
        <f>VLOOKUP(ventas[[#This Row],[ID Producto]],productos[#All],3,FALSE)</f>
        <v>Limpieza</v>
      </c>
      <c r="F605" s="9" t="s">
        <v>9</v>
      </c>
      <c r="G605" s="3" t="s">
        <v>456</v>
      </c>
      <c r="H605">
        <v>6</v>
      </c>
      <c r="I605">
        <v>2274</v>
      </c>
      <c r="J605">
        <v>13644</v>
      </c>
    </row>
    <row r="606" spans="1:10" x14ac:dyDescent="0.2">
      <c r="A606" s="3" t="s">
        <v>1063</v>
      </c>
      <c r="B606" s="5">
        <v>45243</v>
      </c>
      <c r="C606" s="3" t="s">
        <v>297</v>
      </c>
      <c r="D606" s="3" t="s">
        <v>1029</v>
      </c>
      <c r="E606" s="3" t="str">
        <f>VLOOKUP(ventas[[#This Row],[ID Producto]],productos[#All],3,FALSE)</f>
        <v>Limpieza</v>
      </c>
      <c r="F606" s="9" t="s">
        <v>11</v>
      </c>
      <c r="G606" s="3" t="s">
        <v>456</v>
      </c>
      <c r="H606">
        <v>4</v>
      </c>
      <c r="I606">
        <v>2274</v>
      </c>
      <c r="J606">
        <v>9096</v>
      </c>
    </row>
    <row r="607" spans="1:10" x14ac:dyDescent="0.2">
      <c r="A607" s="3" t="s">
        <v>1064</v>
      </c>
      <c r="B607" s="5">
        <v>45116</v>
      </c>
      <c r="C607" s="3" t="s">
        <v>331</v>
      </c>
      <c r="D607" s="3" t="s">
        <v>1029</v>
      </c>
      <c r="E607" s="3" t="str">
        <f>VLOOKUP(ventas[[#This Row],[ID Producto]],productos[#All],3,FALSE)</f>
        <v>Limpieza</v>
      </c>
      <c r="F607" s="10" t="s">
        <v>9</v>
      </c>
      <c r="G607" s="3" t="s">
        <v>463</v>
      </c>
      <c r="H607">
        <v>8</v>
      </c>
      <c r="I607">
        <v>2274</v>
      </c>
      <c r="J607">
        <v>18192</v>
      </c>
    </row>
    <row r="608" spans="1:10" x14ac:dyDescent="0.2">
      <c r="A608" s="3" t="s">
        <v>1065</v>
      </c>
      <c r="B608" s="5">
        <v>45006</v>
      </c>
      <c r="C608" s="3" t="s">
        <v>387</v>
      </c>
      <c r="D608" s="3" t="s">
        <v>1029</v>
      </c>
      <c r="E608" s="3" t="str">
        <f>VLOOKUP(ventas[[#This Row],[ID Producto]],productos[#All],3,FALSE)</f>
        <v>Limpieza</v>
      </c>
      <c r="F608" s="10" t="s">
        <v>9</v>
      </c>
      <c r="G608" s="3" t="s">
        <v>456</v>
      </c>
      <c r="H608">
        <v>8</v>
      </c>
      <c r="I608">
        <v>2274</v>
      </c>
      <c r="J608">
        <v>18192</v>
      </c>
    </row>
    <row r="609" spans="1:10" x14ac:dyDescent="0.2">
      <c r="A609" s="3" t="s">
        <v>1066</v>
      </c>
      <c r="B609" s="5">
        <v>45231</v>
      </c>
      <c r="C609" s="3" t="s">
        <v>399</v>
      </c>
      <c r="D609" s="3" t="s">
        <v>1029</v>
      </c>
      <c r="E609" s="3" t="str">
        <f>VLOOKUP(ventas[[#This Row],[ID Producto]],productos[#All],3,FALSE)</f>
        <v>Limpieza</v>
      </c>
      <c r="F609" s="9" t="s">
        <v>15</v>
      </c>
      <c r="G609" s="3" t="s">
        <v>453</v>
      </c>
      <c r="H609">
        <v>4</v>
      </c>
      <c r="I609">
        <v>2274</v>
      </c>
      <c r="J609">
        <v>9096</v>
      </c>
    </row>
    <row r="610" spans="1:10" x14ac:dyDescent="0.2">
      <c r="A610" s="3" t="s">
        <v>1067</v>
      </c>
      <c r="B610" s="5">
        <v>44980</v>
      </c>
      <c r="C610" s="3" t="s">
        <v>121</v>
      </c>
      <c r="D610" s="3" t="s">
        <v>1029</v>
      </c>
      <c r="E610" s="3" t="str">
        <f>VLOOKUP(ventas[[#This Row],[ID Producto]],productos[#All],3,FALSE)</f>
        <v>Limpieza</v>
      </c>
      <c r="F610" s="9" t="s">
        <v>9</v>
      </c>
      <c r="G610" s="3" t="s">
        <v>463</v>
      </c>
      <c r="H610">
        <v>3</v>
      </c>
      <c r="I610">
        <v>2274</v>
      </c>
      <c r="J610">
        <v>6822</v>
      </c>
    </row>
    <row r="611" spans="1:10" x14ac:dyDescent="0.2">
      <c r="A611" s="3" t="s">
        <v>1068</v>
      </c>
      <c r="B611" s="5">
        <v>45099</v>
      </c>
      <c r="C611" s="3" t="s">
        <v>359</v>
      </c>
      <c r="D611" s="3" t="s">
        <v>1029</v>
      </c>
      <c r="E611" s="3" t="str">
        <f>VLOOKUP(ventas[[#This Row],[ID Producto]],productos[#All],3,FALSE)</f>
        <v>Limpieza</v>
      </c>
      <c r="F611" s="9" t="s">
        <v>11</v>
      </c>
      <c r="G611" s="3" t="s">
        <v>456</v>
      </c>
      <c r="H611">
        <v>6</v>
      </c>
      <c r="I611">
        <v>2274</v>
      </c>
      <c r="J611">
        <v>13644</v>
      </c>
    </row>
    <row r="612" spans="1:10" x14ac:dyDescent="0.2">
      <c r="A612" s="3" t="s">
        <v>1069</v>
      </c>
      <c r="B612" s="5">
        <v>44980</v>
      </c>
      <c r="C612" s="3" t="s">
        <v>433</v>
      </c>
      <c r="D612" s="3" t="s">
        <v>1029</v>
      </c>
      <c r="E612" s="3" t="str">
        <f>VLOOKUP(ventas[[#This Row],[ID Producto]],productos[#All],3,FALSE)</f>
        <v>Limpieza</v>
      </c>
      <c r="F612" s="10" t="s">
        <v>9</v>
      </c>
      <c r="G612" s="3" t="s">
        <v>463</v>
      </c>
      <c r="H612">
        <v>5</v>
      </c>
      <c r="I612">
        <v>2274</v>
      </c>
      <c r="J612">
        <v>1137</v>
      </c>
    </row>
    <row r="613" spans="1:10" x14ac:dyDescent="0.2">
      <c r="A613" s="3" t="s">
        <v>1070</v>
      </c>
      <c r="B613" s="5">
        <v>45234</v>
      </c>
      <c r="C613" s="3" t="s">
        <v>55</v>
      </c>
      <c r="D613" s="3" t="s">
        <v>1029</v>
      </c>
      <c r="E613" s="3" t="str">
        <f>VLOOKUP(ventas[[#This Row],[ID Producto]],productos[#All],3,FALSE)</f>
        <v>Limpieza</v>
      </c>
      <c r="F613" s="10" t="s">
        <v>9</v>
      </c>
      <c r="G613" s="3" t="s">
        <v>463</v>
      </c>
      <c r="H613">
        <v>4</v>
      </c>
      <c r="I613">
        <v>2274</v>
      </c>
      <c r="J613">
        <v>9096</v>
      </c>
    </row>
    <row r="614" spans="1:10" x14ac:dyDescent="0.2">
      <c r="A614" s="3" t="s">
        <v>1071</v>
      </c>
      <c r="B614" s="5">
        <v>45175</v>
      </c>
      <c r="C614" s="3" t="s">
        <v>59</v>
      </c>
      <c r="D614" s="3" t="s">
        <v>1029</v>
      </c>
      <c r="E614" s="3" t="str">
        <f>VLOOKUP(ventas[[#This Row],[ID Producto]],productos[#All],3,FALSE)</f>
        <v>Limpieza</v>
      </c>
      <c r="F614" s="9" t="s">
        <v>15</v>
      </c>
      <c r="G614" s="3" t="s">
        <v>453</v>
      </c>
      <c r="H614">
        <v>6</v>
      </c>
      <c r="I614">
        <v>2274</v>
      </c>
      <c r="J614">
        <v>13644</v>
      </c>
    </row>
    <row r="615" spans="1:10" x14ac:dyDescent="0.2">
      <c r="A615" s="3" t="s">
        <v>1072</v>
      </c>
      <c r="B615" s="5">
        <v>45159</v>
      </c>
      <c r="C615" s="3" t="s">
        <v>205</v>
      </c>
      <c r="D615" s="3" t="s">
        <v>1029</v>
      </c>
      <c r="E615" s="3" t="str">
        <f>VLOOKUP(ventas[[#This Row],[ID Producto]],productos[#All],3,FALSE)</f>
        <v>Limpieza</v>
      </c>
      <c r="F615" s="9" t="s">
        <v>9</v>
      </c>
      <c r="G615" s="3" t="s">
        <v>463</v>
      </c>
      <c r="H615">
        <v>1</v>
      </c>
      <c r="I615">
        <v>2274</v>
      </c>
      <c r="J615">
        <v>2274</v>
      </c>
    </row>
    <row r="616" spans="1:10" x14ac:dyDescent="0.2">
      <c r="A616" s="3" t="s">
        <v>1073</v>
      </c>
      <c r="B616" s="5">
        <v>44972</v>
      </c>
      <c r="C616" s="3" t="s">
        <v>147</v>
      </c>
      <c r="D616" s="3" t="s">
        <v>1029</v>
      </c>
      <c r="E616" s="3" t="str">
        <f>VLOOKUP(ventas[[#This Row],[ID Producto]],productos[#All],3,FALSE)</f>
        <v>Limpieza</v>
      </c>
      <c r="F616" s="9" t="s">
        <v>11</v>
      </c>
      <c r="G616" s="3" t="s">
        <v>453</v>
      </c>
      <c r="H616">
        <v>1</v>
      </c>
      <c r="I616">
        <v>2274</v>
      </c>
      <c r="J616">
        <v>2274</v>
      </c>
    </row>
    <row r="617" spans="1:10" x14ac:dyDescent="0.2">
      <c r="A617" s="3" t="s">
        <v>1074</v>
      </c>
      <c r="B617" s="5">
        <v>44999</v>
      </c>
      <c r="C617" s="3" t="s">
        <v>391</v>
      </c>
      <c r="D617" s="3" t="s">
        <v>1029</v>
      </c>
      <c r="E617" s="3" t="str">
        <f>VLOOKUP(ventas[[#This Row],[ID Producto]],productos[#All],3,FALSE)</f>
        <v>Limpieza</v>
      </c>
      <c r="F617" s="10" t="s">
        <v>9</v>
      </c>
      <c r="G617" s="3" t="s">
        <v>453</v>
      </c>
      <c r="H617">
        <v>2</v>
      </c>
      <c r="I617">
        <v>2274</v>
      </c>
      <c r="J617">
        <v>4548</v>
      </c>
    </row>
    <row r="618" spans="1:10" x14ac:dyDescent="0.2">
      <c r="A618" s="3" t="s">
        <v>1075</v>
      </c>
      <c r="B618" s="5">
        <v>45245</v>
      </c>
      <c r="C618" s="3" t="s">
        <v>445</v>
      </c>
      <c r="D618" s="3" t="s">
        <v>1029</v>
      </c>
      <c r="E618" s="3" t="str">
        <f>VLOOKUP(ventas[[#This Row],[ID Producto]],productos[#All],3,FALSE)</f>
        <v>Limpieza</v>
      </c>
      <c r="F618" s="10" t="s">
        <v>9</v>
      </c>
      <c r="G618" s="3" t="s">
        <v>456</v>
      </c>
      <c r="H618">
        <v>4</v>
      </c>
      <c r="I618">
        <v>2274</v>
      </c>
      <c r="J618">
        <v>9096</v>
      </c>
    </row>
    <row r="619" spans="1:10" x14ac:dyDescent="0.2">
      <c r="A619" s="3" t="s">
        <v>1076</v>
      </c>
      <c r="B619" s="5">
        <v>45179</v>
      </c>
      <c r="C619" s="3" t="s">
        <v>307</v>
      </c>
      <c r="D619" s="3" t="s">
        <v>1029</v>
      </c>
      <c r="E619" s="3" t="str">
        <f>VLOOKUP(ventas[[#This Row],[ID Producto]],productos[#All],3,FALSE)</f>
        <v>Limpieza</v>
      </c>
      <c r="F619" s="9" t="s">
        <v>15</v>
      </c>
      <c r="G619" s="3" t="s">
        <v>456</v>
      </c>
      <c r="H619">
        <v>4</v>
      </c>
      <c r="I619">
        <v>2274</v>
      </c>
      <c r="J619">
        <v>9096</v>
      </c>
    </row>
    <row r="620" spans="1:10" x14ac:dyDescent="0.2">
      <c r="A620" s="3" t="s">
        <v>1077</v>
      </c>
      <c r="B620" s="5">
        <v>45241</v>
      </c>
      <c r="C620" s="3" t="s">
        <v>293</v>
      </c>
      <c r="D620" s="3" t="s">
        <v>1029</v>
      </c>
      <c r="E620" s="3" t="str">
        <f>VLOOKUP(ventas[[#This Row],[ID Producto]],productos[#All],3,FALSE)</f>
        <v>Limpieza</v>
      </c>
      <c r="F620" s="9" t="s">
        <v>9</v>
      </c>
      <c r="G620" s="3" t="s">
        <v>453</v>
      </c>
      <c r="H620">
        <v>7</v>
      </c>
      <c r="I620">
        <v>2274</v>
      </c>
      <c r="J620">
        <v>15918</v>
      </c>
    </row>
    <row r="621" spans="1:10" x14ac:dyDescent="0.2">
      <c r="A621" s="3" t="s">
        <v>1078</v>
      </c>
      <c r="B621" s="5">
        <v>45169</v>
      </c>
      <c r="C621" s="3" t="s">
        <v>215</v>
      </c>
      <c r="D621" s="3" t="s">
        <v>1029</v>
      </c>
      <c r="E621" s="3" t="str">
        <f>VLOOKUP(ventas[[#This Row],[ID Producto]],productos[#All],3,FALSE)</f>
        <v>Limpieza</v>
      </c>
      <c r="F621" s="9" t="s">
        <v>11</v>
      </c>
      <c r="G621" s="3" t="s">
        <v>453</v>
      </c>
      <c r="H621">
        <v>1</v>
      </c>
      <c r="I621">
        <v>2274</v>
      </c>
      <c r="J621">
        <v>2274</v>
      </c>
    </row>
    <row r="622" spans="1:10" x14ac:dyDescent="0.2">
      <c r="A622" s="3" t="s">
        <v>1079</v>
      </c>
      <c r="B622" s="5">
        <v>45261</v>
      </c>
      <c r="C622" s="3" t="s">
        <v>259</v>
      </c>
      <c r="D622" s="3" t="s">
        <v>1029</v>
      </c>
      <c r="E622" s="3" t="str">
        <f>VLOOKUP(ventas[[#This Row],[ID Producto]],productos[#All],3,FALSE)</f>
        <v>Limpieza</v>
      </c>
      <c r="F622" s="10" t="s">
        <v>9</v>
      </c>
      <c r="G622" s="3" t="s">
        <v>456</v>
      </c>
      <c r="H622">
        <v>5</v>
      </c>
      <c r="I622">
        <v>2274</v>
      </c>
      <c r="J622">
        <v>1137</v>
      </c>
    </row>
    <row r="623" spans="1:10" x14ac:dyDescent="0.2">
      <c r="A623" s="3" t="s">
        <v>1080</v>
      </c>
      <c r="B623" s="5">
        <v>45076</v>
      </c>
      <c r="C623" s="3" t="s">
        <v>249</v>
      </c>
      <c r="D623" s="3" t="s">
        <v>1081</v>
      </c>
      <c r="E623" s="3" t="str">
        <f>VLOOKUP(ventas[[#This Row],[ID Producto]],productos[#All],3,FALSE)</f>
        <v>Lácteos</v>
      </c>
      <c r="F623" s="10" t="s">
        <v>9</v>
      </c>
      <c r="G623" s="3" t="s">
        <v>463</v>
      </c>
      <c r="H623">
        <v>9</v>
      </c>
      <c r="I623">
        <v>3145</v>
      </c>
      <c r="J623">
        <v>28305</v>
      </c>
    </row>
    <row r="624" spans="1:10" x14ac:dyDescent="0.2">
      <c r="A624" s="3" t="s">
        <v>1082</v>
      </c>
      <c r="B624" s="5">
        <v>45242</v>
      </c>
      <c r="C624" s="3" t="s">
        <v>167</v>
      </c>
      <c r="D624" s="3" t="s">
        <v>1081</v>
      </c>
      <c r="E624" s="3" t="str">
        <f>VLOOKUP(ventas[[#This Row],[ID Producto]],productos[#All],3,FALSE)</f>
        <v>Lácteos</v>
      </c>
      <c r="F624" s="9" t="s">
        <v>15</v>
      </c>
      <c r="G624" s="3" t="s">
        <v>453</v>
      </c>
      <c r="H624">
        <v>1</v>
      </c>
      <c r="I624">
        <v>3145</v>
      </c>
      <c r="J624">
        <v>3145</v>
      </c>
    </row>
    <row r="625" spans="1:10" x14ac:dyDescent="0.2">
      <c r="A625" s="3" t="s">
        <v>1083</v>
      </c>
      <c r="B625" s="5">
        <v>45197</v>
      </c>
      <c r="C625" s="3" t="s">
        <v>333</v>
      </c>
      <c r="D625" s="3" t="s">
        <v>1081</v>
      </c>
      <c r="E625" s="3" t="str">
        <f>VLOOKUP(ventas[[#This Row],[ID Producto]],productos[#All],3,FALSE)</f>
        <v>Lácteos</v>
      </c>
      <c r="F625" s="9" t="s">
        <v>9</v>
      </c>
      <c r="G625" s="3" t="s">
        <v>456</v>
      </c>
      <c r="H625">
        <v>3</v>
      </c>
      <c r="I625">
        <v>3145</v>
      </c>
      <c r="J625">
        <v>9435</v>
      </c>
    </row>
    <row r="626" spans="1:10" x14ac:dyDescent="0.2">
      <c r="A626" s="3" t="s">
        <v>1084</v>
      </c>
      <c r="B626" s="5">
        <v>45065</v>
      </c>
      <c r="C626" s="3" t="s">
        <v>417</v>
      </c>
      <c r="D626" s="3" t="s">
        <v>1081</v>
      </c>
      <c r="E626" s="3" t="str">
        <f>VLOOKUP(ventas[[#This Row],[ID Producto]],productos[#All],3,FALSE)</f>
        <v>Lácteos</v>
      </c>
      <c r="F626" s="9" t="s">
        <v>11</v>
      </c>
      <c r="G626" s="3" t="s">
        <v>456</v>
      </c>
      <c r="H626">
        <v>4</v>
      </c>
      <c r="I626">
        <v>3145</v>
      </c>
      <c r="J626">
        <v>1258</v>
      </c>
    </row>
    <row r="627" spans="1:10" x14ac:dyDescent="0.2">
      <c r="A627" s="3" t="s">
        <v>1085</v>
      </c>
      <c r="B627" s="5">
        <v>45210</v>
      </c>
      <c r="C627" s="3" t="s">
        <v>183</v>
      </c>
      <c r="D627" s="3" t="s">
        <v>1081</v>
      </c>
      <c r="E627" s="3" t="str">
        <f>VLOOKUP(ventas[[#This Row],[ID Producto]],productos[#All],3,FALSE)</f>
        <v>Lácteos</v>
      </c>
      <c r="F627" s="10" t="s">
        <v>9</v>
      </c>
      <c r="G627" s="3" t="s">
        <v>463</v>
      </c>
      <c r="H627">
        <v>4</v>
      </c>
      <c r="I627">
        <v>3145</v>
      </c>
      <c r="J627">
        <v>1258</v>
      </c>
    </row>
    <row r="628" spans="1:10" x14ac:dyDescent="0.2">
      <c r="A628" s="3" t="s">
        <v>1086</v>
      </c>
      <c r="B628" s="5">
        <v>45266</v>
      </c>
      <c r="C628" s="3" t="s">
        <v>191</v>
      </c>
      <c r="D628" s="3" t="s">
        <v>1081</v>
      </c>
      <c r="E628" s="3" t="str">
        <f>VLOOKUP(ventas[[#This Row],[ID Producto]],productos[#All],3,FALSE)</f>
        <v>Lácteos</v>
      </c>
      <c r="F628" s="10" t="s">
        <v>9</v>
      </c>
      <c r="G628" s="3" t="s">
        <v>463</v>
      </c>
      <c r="H628">
        <v>5</v>
      </c>
      <c r="I628">
        <v>3145</v>
      </c>
      <c r="J628">
        <v>15725</v>
      </c>
    </row>
    <row r="629" spans="1:10" x14ac:dyDescent="0.2">
      <c r="A629" s="3" t="s">
        <v>1087</v>
      </c>
      <c r="B629" s="5">
        <v>45257</v>
      </c>
      <c r="C629" s="3" t="s">
        <v>259</v>
      </c>
      <c r="D629" s="3" t="s">
        <v>1081</v>
      </c>
      <c r="E629" s="3" t="str">
        <f>VLOOKUP(ventas[[#This Row],[ID Producto]],productos[#All],3,FALSE)</f>
        <v>Lácteos</v>
      </c>
      <c r="F629" s="9" t="s">
        <v>15</v>
      </c>
      <c r="G629" s="3" t="s">
        <v>456</v>
      </c>
      <c r="H629">
        <v>1</v>
      </c>
      <c r="I629">
        <v>3145</v>
      </c>
      <c r="J629">
        <v>3145</v>
      </c>
    </row>
    <row r="630" spans="1:10" x14ac:dyDescent="0.2">
      <c r="A630" s="3" t="s">
        <v>1088</v>
      </c>
      <c r="B630" s="5">
        <v>45157</v>
      </c>
      <c r="C630" s="3" t="s">
        <v>291</v>
      </c>
      <c r="D630" s="3" t="s">
        <v>1081</v>
      </c>
      <c r="E630" s="3" t="str">
        <f>VLOOKUP(ventas[[#This Row],[ID Producto]],productos[#All],3,FALSE)</f>
        <v>Lácteos</v>
      </c>
      <c r="F630" s="9" t="s">
        <v>9</v>
      </c>
      <c r="G630" s="3" t="s">
        <v>456</v>
      </c>
      <c r="H630">
        <v>3</v>
      </c>
      <c r="I630">
        <v>3145</v>
      </c>
      <c r="J630">
        <v>9435</v>
      </c>
    </row>
    <row r="631" spans="1:10" x14ac:dyDescent="0.2">
      <c r="A631" s="3" t="s">
        <v>1089</v>
      </c>
      <c r="B631" s="5">
        <v>45151</v>
      </c>
      <c r="C631" s="3" t="s">
        <v>149</v>
      </c>
      <c r="D631" s="3" t="s">
        <v>1081</v>
      </c>
      <c r="E631" s="3" t="str">
        <f>VLOOKUP(ventas[[#This Row],[ID Producto]],productos[#All],3,FALSE)</f>
        <v>Lácteos</v>
      </c>
      <c r="F631" s="9" t="s">
        <v>11</v>
      </c>
      <c r="G631" s="3" t="s">
        <v>463</v>
      </c>
      <c r="H631">
        <v>1</v>
      </c>
      <c r="I631">
        <v>3145</v>
      </c>
      <c r="J631">
        <v>3145</v>
      </c>
    </row>
    <row r="632" spans="1:10" x14ac:dyDescent="0.2">
      <c r="A632" s="3" t="s">
        <v>1090</v>
      </c>
      <c r="B632" s="5">
        <v>45160</v>
      </c>
      <c r="C632" s="3" t="s">
        <v>411</v>
      </c>
      <c r="D632" s="3" t="s">
        <v>1081</v>
      </c>
      <c r="E632" s="3" t="str">
        <f>VLOOKUP(ventas[[#This Row],[ID Producto]],productos[#All],3,FALSE)</f>
        <v>Lácteos</v>
      </c>
      <c r="F632" s="10" t="s">
        <v>9</v>
      </c>
      <c r="G632" s="3" t="s">
        <v>453</v>
      </c>
      <c r="H632">
        <v>9</v>
      </c>
      <c r="I632">
        <v>3145</v>
      </c>
      <c r="J632">
        <v>28305</v>
      </c>
    </row>
    <row r="633" spans="1:10" x14ac:dyDescent="0.2">
      <c r="A633" s="3" t="s">
        <v>1091</v>
      </c>
      <c r="B633" s="5">
        <v>45052</v>
      </c>
      <c r="C633" s="3" t="s">
        <v>371</v>
      </c>
      <c r="D633" s="3" t="s">
        <v>1081</v>
      </c>
      <c r="E633" s="3" t="str">
        <f>VLOOKUP(ventas[[#This Row],[ID Producto]],productos[#All],3,FALSE)</f>
        <v>Lácteos</v>
      </c>
      <c r="F633" s="10" t="s">
        <v>9</v>
      </c>
      <c r="G633" s="3" t="s">
        <v>453</v>
      </c>
      <c r="H633">
        <v>8</v>
      </c>
      <c r="I633">
        <v>3145</v>
      </c>
      <c r="J633">
        <v>2516</v>
      </c>
    </row>
    <row r="634" spans="1:10" x14ac:dyDescent="0.2">
      <c r="A634" s="3" t="s">
        <v>1092</v>
      </c>
      <c r="B634" s="5">
        <v>45266</v>
      </c>
      <c r="C634" s="3" t="s">
        <v>67</v>
      </c>
      <c r="D634" s="3" t="s">
        <v>1081</v>
      </c>
      <c r="E634" s="3" t="str">
        <f>VLOOKUP(ventas[[#This Row],[ID Producto]],productos[#All],3,FALSE)</f>
        <v>Lácteos</v>
      </c>
      <c r="F634" s="9" t="s">
        <v>15</v>
      </c>
      <c r="G634" s="3" t="s">
        <v>456</v>
      </c>
      <c r="H634">
        <v>9</v>
      </c>
      <c r="I634">
        <v>3145</v>
      </c>
      <c r="J634">
        <v>28305</v>
      </c>
    </row>
    <row r="635" spans="1:10" x14ac:dyDescent="0.2">
      <c r="A635" s="3" t="s">
        <v>1093</v>
      </c>
      <c r="B635" s="5">
        <v>45180</v>
      </c>
      <c r="C635" s="3" t="s">
        <v>267</v>
      </c>
      <c r="D635" s="3" t="s">
        <v>1081</v>
      </c>
      <c r="E635" s="3" t="str">
        <f>VLOOKUP(ventas[[#This Row],[ID Producto]],productos[#All],3,FALSE)</f>
        <v>Lácteos</v>
      </c>
      <c r="F635" s="9" t="s">
        <v>9</v>
      </c>
      <c r="G635" s="3" t="s">
        <v>463</v>
      </c>
      <c r="H635">
        <v>8</v>
      </c>
      <c r="I635">
        <v>3145</v>
      </c>
      <c r="J635">
        <v>2516</v>
      </c>
    </row>
    <row r="636" spans="1:10" x14ac:dyDescent="0.2">
      <c r="A636" s="3" t="s">
        <v>1094</v>
      </c>
      <c r="B636" s="5">
        <v>45023</v>
      </c>
      <c r="C636" s="3" t="s">
        <v>399</v>
      </c>
      <c r="D636" s="3" t="s">
        <v>1081</v>
      </c>
      <c r="E636" s="3" t="str">
        <f>VLOOKUP(ventas[[#This Row],[ID Producto]],productos[#All],3,FALSE)</f>
        <v>Lácteos</v>
      </c>
      <c r="F636" s="9" t="s">
        <v>11</v>
      </c>
      <c r="G636" s="3" t="s">
        <v>453</v>
      </c>
      <c r="H636">
        <v>3</v>
      </c>
      <c r="I636">
        <v>3145</v>
      </c>
      <c r="J636">
        <v>9435</v>
      </c>
    </row>
    <row r="637" spans="1:10" x14ac:dyDescent="0.2">
      <c r="A637" s="3" t="s">
        <v>1095</v>
      </c>
      <c r="B637" s="5">
        <v>45098</v>
      </c>
      <c r="C637" s="3" t="s">
        <v>341</v>
      </c>
      <c r="D637" s="3" t="s">
        <v>1081</v>
      </c>
      <c r="E637" s="3" t="str">
        <f>VLOOKUP(ventas[[#This Row],[ID Producto]],productos[#All],3,FALSE)</f>
        <v>Lácteos</v>
      </c>
      <c r="F637" s="10" t="s">
        <v>9</v>
      </c>
      <c r="G637" s="3" t="s">
        <v>463</v>
      </c>
      <c r="H637">
        <v>3</v>
      </c>
      <c r="I637">
        <v>3145</v>
      </c>
      <c r="J637">
        <v>9435</v>
      </c>
    </row>
    <row r="638" spans="1:10" x14ac:dyDescent="0.2">
      <c r="A638" s="3" t="s">
        <v>1096</v>
      </c>
      <c r="B638" s="5">
        <v>45087</v>
      </c>
      <c r="C638" s="3" t="s">
        <v>379</v>
      </c>
      <c r="D638" s="3" t="s">
        <v>1081</v>
      </c>
      <c r="E638" s="3" t="str">
        <f>VLOOKUP(ventas[[#This Row],[ID Producto]],productos[#All],3,FALSE)</f>
        <v>Lácteos</v>
      </c>
      <c r="F638" s="10" t="s">
        <v>9</v>
      </c>
      <c r="G638" s="3" t="s">
        <v>456</v>
      </c>
      <c r="H638">
        <v>3</v>
      </c>
      <c r="I638">
        <v>3145</v>
      </c>
      <c r="J638">
        <v>9435</v>
      </c>
    </row>
    <row r="639" spans="1:10" x14ac:dyDescent="0.2">
      <c r="A639" s="3" t="s">
        <v>1097</v>
      </c>
      <c r="B639" s="5">
        <v>44944</v>
      </c>
      <c r="C639" s="3" t="s">
        <v>245</v>
      </c>
      <c r="D639" s="3" t="s">
        <v>1081</v>
      </c>
      <c r="E639" s="3" t="str">
        <f>VLOOKUP(ventas[[#This Row],[ID Producto]],productos[#All],3,FALSE)</f>
        <v>Lácteos</v>
      </c>
      <c r="F639" s="9" t="s">
        <v>15</v>
      </c>
      <c r="G639" s="3" t="s">
        <v>463</v>
      </c>
      <c r="H639">
        <v>6</v>
      </c>
      <c r="I639">
        <v>3145</v>
      </c>
      <c r="J639">
        <v>1887</v>
      </c>
    </row>
    <row r="640" spans="1:10" x14ac:dyDescent="0.2">
      <c r="A640" s="3" t="s">
        <v>1098</v>
      </c>
      <c r="B640" s="5">
        <v>45188</v>
      </c>
      <c r="C640" s="3" t="s">
        <v>409</v>
      </c>
      <c r="D640" s="3" t="s">
        <v>1081</v>
      </c>
      <c r="E640" s="3" t="str">
        <f>VLOOKUP(ventas[[#This Row],[ID Producto]],productos[#All],3,FALSE)</f>
        <v>Lácteos</v>
      </c>
      <c r="F640" s="9" t="s">
        <v>9</v>
      </c>
      <c r="G640" s="3" t="s">
        <v>456</v>
      </c>
      <c r="H640">
        <v>2</v>
      </c>
      <c r="I640">
        <v>3145</v>
      </c>
      <c r="J640">
        <v>629</v>
      </c>
    </row>
    <row r="641" spans="1:10" x14ac:dyDescent="0.2">
      <c r="A641" s="3" t="s">
        <v>1099</v>
      </c>
      <c r="B641" s="5">
        <v>45276</v>
      </c>
      <c r="C641" s="3" t="s">
        <v>277</v>
      </c>
      <c r="D641" s="3" t="s">
        <v>1081</v>
      </c>
      <c r="E641" s="3" t="str">
        <f>VLOOKUP(ventas[[#This Row],[ID Producto]],productos[#All],3,FALSE)</f>
        <v>Lácteos</v>
      </c>
      <c r="F641" s="9" t="s">
        <v>11</v>
      </c>
      <c r="G641" s="3" t="s">
        <v>463</v>
      </c>
      <c r="H641">
        <v>6</v>
      </c>
      <c r="I641">
        <v>3145</v>
      </c>
      <c r="J641">
        <v>1887</v>
      </c>
    </row>
    <row r="642" spans="1:10" x14ac:dyDescent="0.2">
      <c r="A642" s="3" t="s">
        <v>1100</v>
      </c>
      <c r="B642" s="5">
        <v>45052</v>
      </c>
      <c r="C642" s="3" t="s">
        <v>305</v>
      </c>
      <c r="D642" s="3" t="s">
        <v>1081</v>
      </c>
      <c r="E642" s="3" t="str">
        <f>VLOOKUP(ventas[[#This Row],[ID Producto]],productos[#All],3,FALSE)</f>
        <v>Lácteos</v>
      </c>
      <c r="F642" s="10" t="s">
        <v>9</v>
      </c>
      <c r="G642" s="3" t="s">
        <v>463</v>
      </c>
      <c r="H642">
        <v>4</v>
      </c>
      <c r="I642">
        <v>3145</v>
      </c>
      <c r="J642">
        <v>1258</v>
      </c>
    </row>
    <row r="643" spans="1:10" x14ac:dyDescent="0.2">
      <c r="A643" s="3" t="s">
        <v>1101</v>
      </c>
      <c r="B643" s="5">
        <v>45164</v>
      </c>
      <c r="C643" s="3" t="s">
        <v>195</v>
      </c>
      <c r="D643" s="3" t="s">
        <v>1081</v>
      </c>
      <c r="E643" s="3" t="str">
        <f>VLOOKUP(ventas[[#This Row],[ID Producto]],productos[#All],3,FALSE)</f>
        <v>Lácteos</v>
      </c>
      <c r="F643" s="10" t="s">
        <v>9</v>
      </c>
      <c r="G643" s="3" t="s">
        <v>453</v>
      </c>
      <c r="H643">
        <v>6</v>
      </c>
      <c r="I643">
        <v>3145</v>
      </c>
      <c r="J643">
        <v>1887</v>
      </c>
    </row>
    <row r="644" spans="1:10" x14ac:dyDescent="0.2">
      <c r="A644" s="3" t="s">
        <v>1102</v>
      </c>
      <c r="B644" s="5">
        <v>45173</v>
      </c>
      <c r="C644" s="3" t="s">
        <v>349</v>
      </c>
      <c r="D644" s="3" t="s">
        <v>1081</v>
      </c>
      <c r="E644" s="3" t="str">
        <f>VLOOKUP(ventas[[#This Row],[ID Producto]],productos[#All],3,FALSE)</f>
        <v>Lácteos</v>
      </c>
      <c r="F644" s="9" t="s">
        <v>15</v>
      </c>
      <c r="G644" s="3" t="s">
        <v>456</v>
      </c>
      <c r="H644">
        <v>3</v>
      </c>
      <c r="I644">
        <v>3145</v>
      </c>
      <c r="J644">
        <v>9435</v>
      </c>
    </row>
    <row r="645" spans="1:10" x14ac:dyDescent="0.2">
      <c r="A645" s="3" t="s">
        <v>1103</v>
      </c>
      <c r="B645" s="5">
        <v>45086</v>
      </c>
      <c r="C645" s="3" t="s">
        <v>219</v>
      </c>
      <c r="D645" s="3" t="s">
        <v>1081</v>
      </c>
      <c r="E645" s="3" t="str">
        <f>VLOOKUP(ventas[[#This Row],[ID Producto]],productos[#All],3,FALSE)</f>
        <v>Lácteos</v>
      </c>
      <c r="F645" s="9" t="s">
        <v>9</v>
      </c>
      <c r="G645" s="3" t="s">
        <v>456</v>
      </c>
      <c r="H645">
        <v>2</v>
      </c>
      <c r="I645">
        <v>3145</v>
      </c>
      <c r="J645">
        <v>629</v>
      </c>
    </row>
    <row r="646" spans="1:10" x14ac:dyDescent="0.2">
      <c r="A646" s="3" t="s">
        <v>1104</v>
      </c>
      <c r="B646" s="5">
        <v>45078</v>
      </c>
      <c r="C646" s="3" t="s">
        <v>75</v>
      </c>
      <c r="D646" s="3" t="s">
        <v>1081</v>
      </c>
      <c r="E646" s="3" t="str">
        <f>VLOOKUP(ventas[[#This Row],[ID Producto]],productos[#All],3,FALSE)</f>
        <v>Lácteos</v>
      </c>
      <c r="F646" s="9" t="s">
        <v>11</v>
      </c>
      <c r="G646" s="3" t="s">
        <v>453</v>
      </c>
      <c r="H646">
        <v>7</v>
      </c>
      <c r="I646">
        <v>3145</v>
      </c>
      <c r="J646">
        <v>22015</v>
      </c>
    </row>
    <row r="647" spans="1:10" x14ac:dyDescent="0.2">
      <c r="A647" s="3" t="s">
        <v>1105</v>
      </c>
      <c r="B647" s="5">
        <v>45287</v>
      </c>
      <c r="C647" s="3" t="s">
        <v>105</v>
      </c>
      <c r="D647" s="3" t="s">
        <v>1081</v>
      </c>
      <c r="E647" s="3" t="str">
        <f>VLOOKUP(ventas[[#This Row],[ID Producto]],productos[#All],3,FALSE)</f>
        <v>Lácteos</v>
      </c>
      <c r="F647" s="10" t="s">
        <v>9</v>
      </c>
      <c r="G647" s="3" t="s">
        <v>456</v>
      </c>
      <c r="H647">
        <v>3</v>
      </c>
      <c r="I647">
        <v>3145</v>
      </c>
      <c r="J647">
        <v>9435</v>
      </c>
    </row>
    <row r="648" spans="1:10" x14ac:dyDescent="0.2">
      <c r="A648" s="3" t="s">
        <v>1106</v>
      </c>
      <c r="B648" s="5">
        <v>45113</v>
      </c>
      <c r="C648" s="3" t="s">
        <v>67</v>
      </c>
      <c r="D648" s="3" t="s">
        <v>1081</v>
      </c>
      <c r="E648" s="3" t="str">
        <f>VLOOKUP(ventas[[#This Row],[ID Producto]],productos[#All],3,FALSE)</f>
        <v>Lácteos</v>
      </c>
      <c r="F648" s="10" t="s">
        <v>9</v>
      </c>
      <c r="G648" s="3" t="s">
        <v>463</v>
      </c>
      <c r="H648">
        <v>2</v>
      </c>
      <c r="I648">
        <v>3145</v>
      </c>
      <c r="J648">
        <v>629</v>
      </c>
    </row>
    <row r="649" spans="1:10" x14ac:dyDescent="0.2">
      <c r="A649" s="3" t="s">
        <v>1107</v>
      </c>
      <c r="B649" s="5">
        <v>45103</v>
      </c>
      <c r="C649" s="3" t="s">
        <v>353</v>
      </c>
      <c r="D649" s="3" t="s">
        <v>1081</v>
      </c>
      <c r="E649" s="3" t="str">
        <f>VLOOKUP(ventas[[#This Row],[ID Producto]],productos[#All],3,FALSE)</f>
        <v>Lácteos</v>
      </c>
      <c r="F649" s="9" t="s">
        <v>15</v>
      </c>
      <c r="G649" s="3" t="s">
        <v>463</v>
      </c>
      <c r="H649">
        <v>2</v>
      </c>
      <c r="I649">
        <v>3145</v>
      </c>
      <c r="J649">
        <v>629</v>
      </c>
    </row>
    <row r="650" spans="1:10" x14ac:dyDescent="0.2">
      <c r="A650" s="3" t="s">
        <v>1108</v>
      </c>
      <c r="B650" s="5">
        <v>45026</v>
      </c>
      <c r="C650" s="3" t="s">
        <v>253</v>
      </c>
      <c r="D650" s="3" t="s">
        <v>1081</v>
      </c>
      <c r="E650" s="3" t="str">
        <f>VLOOKUP(ventas[[#This Row],[ID Producto]],productos[#All],3,FALSE)</f>
        <v>Lácteos</v>
      </c>
      <c r="F650" s="9" t="s">
        <v>9</v>
      </c>
      <c r="G650" s="3" t="s">
        <v>463</v>
      </c>
      <c r="H650">
        <v>8</v>
      </c>
      <c r="I650">
        <v>3145</v>
      </c>
      <c r="J650">
        <v>2516</v>
      </c>
    </row>
    <row r="651" spans="1:10" x14ac:dyDescent="0.2">
      <c r="A651" s="3" t="s">
        <v>1109</v>
      </c>
      <c r="B651" s="5">
        <v>45071</v>
      </c>
      <c r="C651" s="3" t="s">
        <v>161</v>
      </c>
      <c r="D651" s="3" t="s">
        <v>1081</v>
      </c>
      <c r="E651" s="3" t="str">
        <f>VLOOKUP(ventas[[#This Row],[ID Producto]],productos[#All],3,FALSE)</f>
        <v>Lácteos</v>
      </c>
      <c r="F651" s="9" t="s">
        <v>11</v>
      </c>
      <c r="G651" s="3" t="s">
        <v>453</v>
      </c>
      <c r="H651">
        <v>2</v>
      </c>
      <c r="I651">
        <v>3145</v>
      </c>
      <c r="J651">
        <v>629</v>
      </c>
    </row>
    <row r="652" spans="1:10" x14ac:dyDescent="0.2">
      <c r="A652" s="3" t="s">
        <v>1110</v>
      </c>
      <c r="B652" s="5">
        <v>45290</v>
      </c>
      <c r="C652" s="3" t="s">
        <v>401</v>
      </c>
      <c r="D652" s="3" t="s">
        <v>1081</v>
      </c>
      <c r="E652" s="3" t="str">
        <f>VLOOKUP(ventas[[#This Row],[ID Producto]],productos[#All],3,FALSE)</f>
        <v>Lácteos</v>
      </c>
      <c r="F652" s="10" t="s">
        <v>9</v>
      </c>
      <c r="G652" s="3" t="s">
        <v>456</v>
      </c>
      <c r="H652">
        <v>9</v>
      </c>
      <c r="I652">
        <v>3145</v>
      </c>
      <c r="J652">
        <v>28305</v>
      </c>
    </row>
    <row r="653" spans="1:10" x14ac:dyDescent="0.2">
      <c r="A653" s="3" t="s">
        <v>1111</v>
      </c>
      <c r="B653" s="5">
        <v>45108</v>
      </c>
      <c r="C653" s="3" t="s">
        <v>65</v>
      </c>
      <c r="D653" s="3" t="s">
        <v>1081</v>
      </c>
      <c r="E653" s="3" t="str">
        <f>VLOOKUP(ventas[[#This Row],[ID Producto]],productos[#All],3,FALSE)</f>
        <v>Lácteos</v>
      </c>
      <c r="F653" s="10" t="s">
        <v>9</v>
      </c>
      <c r="G653" s="3" t="s">
        <v>453</v>
      </c>
      <c r="H653">
        <v>3</v>
      </c>
      <c r="I653">
        <v>3145</v>
      </c>
      <c r="J653">
        <v>9435</v>
      </c>
    </row>
    <row r="654" spans="1:10" x14ac:dyDescent="0.2">
      <c r="A654" s="3" t="s">
        <v>1112</v>
      </c>
      <c r="B654" s="5">
        <v>45287</v>
      </c>
      <c r="C654" s="3" t="s">
        <v>225</v>
      </c>
      <c r="D654" s="3" t="s">
        <v>1081</v>
      </c>
      <c r="E654" s="3" t="str">
        <f>VLOOKUP(ventas[[#This Row],[ID Producto]],productos[#All],3,FALSE)</f>
        <v>Lácteos</v>
      </c>
      <c r="F654" s="9" t="s">
        <v>15</v>
      </c>
      <c r="G654" s="3" t="s">
        <v>463</v>
      </c>
      <c r="H654">
        <v>5</v>
      </c>
      <c r="I654">
        <v>3145</v>
      </c>
      <c r="J654">
        <v>15725</v>
      </c>
    </row>
    <row r="655" spans="1:10" x14ac:dyDescent="0.2">
      <c r="A655" s="3" t="s">
        <v>1113</v>
      </c>
      <c r="B655" s="5">
        <v>45229</v>
      </c>
      <c r="C655" s="3" t="s">
        <v>353</v>
      </c>
      <c r="D655" s="3" t="s">
        <v>1081</v>
      </c>
      <c r="E655" s="3" t="str">
        <f>VLOOKUP(ventas[[#This Row],[ID Producto]],productos[#All],3,FALSE)</f>
        <v>Lácteos</v>
      </c>
      <c r="F655" s="9" t="s">
        <v>9</v>
      </c>
      <c r="G655" s="3" t="s">
        <v>463</v>
      </c>
      <c r="H655">
        <v>9</v>
      </c>
      <c r="I655">
        <v>3145</v>
      </c>
      <c r="J655">
        <v>28305</v>
      </c>
    </row>
    <row r="656" spans="1:10" x14ac:dyDescent="0.2">
      <c r="A656" s="3" t="s">
        <v>1114</v>
      </c>
      <c r="B656" s="5">
        <v>45123</v>
      </c>
      <c r="C656" s="3" t="s">
        <v>409</v>
      </c>
      <c r="D656" s="3" t="s">
        <v>1081</v>
      </c>
      <c r="E656" s="3" t="str">
        <f>VLOOKUP(ventas[[#This Row],[ID Producto]],productos[#All],3,FALSE)</f>
        <v>Lácteos</v>
      </c>
      <c r="F656" s="9" t="s">
        <v>11</v>
      </c>
      <c r="G656" s="3" t="s">
        <v>453</v>
      </c>
      <c r="H656">
        <v>2</v>
      </c>
      <c r="I656">
        <v>3145</v>
      </c>
      <c r="J656">
        <v>629</v>
      </c>
    </row>
    <row r="657" spans="1:10" x14ac:dyDescent="0.2">
      <c r="A657" s="3" t="s">
        <v>1115</v>
      </c>
      <c r="B657" s="5">
        <v>45238</v>
      </c>
      <c r="C657" s="3" t="s">
        <v>429</v>
      </c>
      <c r="D657" s="3" t="s">
        <v>1081</v>
      </c>
      <c r="E657" s="3" t="str">
        <f>VLOOKUP(ventas[[#This Row],[ID Producto]],productos[#All],3,FALSE)</f>
        <v>Lácteos</v>
      </c>
      <c r="F657" s="10" t="s">
        <v>9</v>
      </c>
      <c r="G657" s="3" t="s">
        <v>453</v>
      </c>
      <c r="H657">
        <v>1</v>
      </c>
      <c r="I657">
        <v>3145</v>
      </c>
      <c r="J657">
        <v>3145</v>
      </c>
    </row>
    <row r="658" spans="1:10" x14ac:dyDescent="0.2">
      <c r="A658" s="3" t="s">
        <v>1116</v>
      </c>
      <c r="B658" s="5">
        <v>45024</v>
      </c>
      <c r="C658" s="3" t="s">
        <v>405</v>
      </c>
      <c r="D658" s="3" t="s">
        <v>1081</v>
      </c>
      <c r="E658" s="3" t="str">
        <f>VLOOKUP(ventas[[#This Row],[ID Producto]],productos[#All],3,FALSE)</f>
        <v>Lácteos</v>
      </c>
      <c r="F658" s="10" t="s">
        <v>9</v>
      </c>
      <c r="G658" s="3" t="s">
        <v>463</v>
      </c>
      <c r="H658">
        <v>3</v>
      </c>
      <c r="I658">
        <v>3145</v>
      </c>
      <c r="J658">
        <v>9435</v>
      </c>
    </row>
    <row r="659" spans="1:10" x14ac:dyDescent="0.2">
      <c r="A659" s="3" t="s">
        <v>1117</v>
      </c>
      <c r="B659" s="5">
        <v>44934</v>
      </c>
      <c r="C659" s="3" t="s">
        <v>47</v>
      </c>
      <c r="D659" s="3" t="s">
        <v>1081</v>
      </c>
      <c r="E659" s="3" t="str">
        <f>VLOOKUP(ventas[[#This Row],[ID Producto]],productos[#All],3,FALSE)</f>
        <v>Lácteos</v>
      </c>
      <c r="F659" s="9" t="s">
        <v>15</v>
      </c>
      <c r="G659" s="3" t="s">
        <v>453</v>
      </c>
      <c r="H659">
        <v>2</v>
      </c>
      <c r="I659">
        <v>3145</v>
      </c>
      <c r="J659">
        <v>629</v>
      </c>
    </row>
    <row r="660" spans="1:10" x14ac:dyDescent="0.2">
      <c r="A660" s="3" t="s">
        <v>1118</v>
      </c>
      <c r="B660" s="5">
        <v>45243</v>
      </c>
      <c r="C660" s="3" t="s">
        <v>395</v>
      </c>
      <c r="D660" s="3" t="s">
        <v>1081</v>
      </c>
      <c r="E660" s="3" t="str">
        <f>VLOOKUP(ventas[[#This Row],[ID Producto]],productos[#All],3,FALSE)</f>
        <v>Lácteos</v>
      </c>
      <c r="F660" s="9" t="s">
        <v>9</v>
      </c>
      <c r="G660" s="3" t="s">
        <v>456</v>
      </c>
      <c r="H660">
        <v>6</v>
      </c>
      <c r="I660">
        <v>3145</v>
      </c>
      <c r="J660">
        <v>1887</v>
      </c>
    </row>
    <row r="661" spans="1:10" x14ac:dyDescent="0.2">
      <c r="A661" s="3" t="s">
        <v>1119</v>
      </c>
      <c r="B661" s="5">
        <v>45039</v>
      </c>
      <c r="C661" s="3" t="s">
        <v>173</v>
      </c>
      <c r="D661" s="3" t="s">
        <v>1081</v>
      </c>
      <c r="E661" s="3" t="str">
        <f>VLOOKUP(ventas[[#This Row],[ID Producto]],productos[#All],3,FALSE)</f>
        <v>Lácteos</v>
      </c>
      <c r="F661" s="9" t="s">
        <v>11</v>
      </c>
      <c r="G661" s="3" t="s">
        <v>456</v>
      </c>
      <c r="H661">
        <v>9</v>
      </c>
      <c r="I661">
        <v>3145</v>
      </c>
      <c r="J661">
        <v>28305</v>
      </c>
    </row>
    <row r="662" spans="1:10" x14ac:dyDescent="0.2">
      <c r="A662" s="3" t="s">
        <v>1120</v>
      </c>
      <c r="B662" s="5">
        <v>44954</v>
      </c>
      <c r="C662" s="3" t="s">
        <v>175</v>
      </c>
      <c r="D662" s="3" t="s">
        <v>1081</v>
      </c>
      <c r="E662" s="3" t="str">
        <f>VLOOKUP(ventas[[#This Row],[ID Producto]],productos[#All],3,FALSE)</f>
        <v>Lácteos</v>
      </c>
      <c r="F662" s="10" t="s">
        <v>9</v>
      </c>
      <c r="G662" s="3" t="s">
        <v>456</v>
      </c>
      <c r="H662">
        <v>3</v>
      </c>
      <c r="I662">
        <v>3145</v>
      </c>
      <c r="J662">
        <v>9435</v>
      </c>
    </row>
    <row r="663" spans="1:10" x14ac:dyDescent="0.2">
      <c r="A663" s="3" t="s">
        <v>1121</v>
      </c>
      <c r="B663" s="5">
        <v>45154</v>
      </c>
      <c r="C663" s="3" t="s">
        <v>435</v>
      </c>
      <c r="D663" s="3" t="s">
        <v>1081</v>
      </c>
      <c r="E663" s="3" t="str">
        <f>VLOOKUP(ventas[[#This Row],[ID Producto]],productos[#All],3,FALSE)</f>
        <v>Lácteos</v>
      </c>
      <c r="F663" s="10" t="s">
        <v>9</v>
      </c>
      <c r="G663" s="3" t="s">
        <v>453</v>
      </c>
      <c r="H663">
        <v>7</v>
      </c>
      <c r="I663">
        <v>3145</v>
      </c>
      <c r="J663">
        <v>22015</v>
      </c>
    </row>
    <row r="664" spans="1:10" x14ac:dyDescent="0.2">
      <c r="A664" s="3" t="s">
        <v>1122</v>
      </c>
      <c r="B664" s="5">
        <v>44930</v>
      </c>
      <c r="C664" s="3" t="s">
        <v>63</v>
      </c>
      <c r="D664" s="3" t="s">
        <v>1081</v>
      </c>
      <c r="E664" s="3" t="str">
        <f>VLOOKUP(ventas[[#This Row],[ID Producto]],productos[#All],3,FALSE)</f>
        <v>Lácteos</v>
      </c>
      <c r="F664" s="9" t="s">
        <v>15</v>
      </c>
      <c r="G664" s="3" t="s">
        <v>456</v>
      </c>
      <c r="H664">
        <v>4</v>
      </c>
      <c r="I664">
        <v>3145</v>
      </c>
      <c r="J664">
        <v>1258</v>
      </c>
    </row>
    <row r="665" spans="1:10" x14ac:dyDescent="0.2">
      <c r="A665" s="3" t="s">
        <v>1123</v>
      </c>
      <c r="B665" s="5">
        <v>45276</v>
      </c>
      <c r="C665" s="3" t="s">
        <v>171</v>
      </c>
      <c r="D665" s="3" t="s">
        <v>1081</v>
      </c>
      <c r="E665" s="3" t="str">
        <f>VLOOKUP(ventas[[#This Row],[ID Producto]],productos[#All],3,FALSE)</f>
        <v>Lácteos</v>
      </c>
      <c r="F665" s="9" t="s">
        <v>9</v>
      </c>
      <c r="G665" s="3" t="s">
        <v>453</v>
      </c>
      <c r="H665">
        <v>9</v>
      </c>
      <c r="I665">
        <v>3145</v>
      </c>
      <c r="J665">
        <v>28305</v>
      </c>
    </row>
    <row r="666" spans="1:10" x14ac:dyDescent="0.2">
      <c r="A666" s="3" t="s">
        <v>1124</v>
      </c>
      <c r="B666" s="5">
        <v>45201</v>
      </c>
      <c r="C666" s="3" t="s">
        <v>153</v>
      </c>
      <c r="D666" s="3" t="s">
        <v>1081</v>
      </c>
      <c r="E666" s="3" t="str">
        <f>VLOOKUP(ventas[[#This Row],[ID Producto]],productos[#All],3,FALSE)</f>
        <v>Lácteos</v>
      </c>
      <c r="F666" s="9" t="s">
        <v>11</v>
      </c>
      <c r="G666" s="3" t="s">
        <v>456</v>
      </c>
      <c r="H666">
        <v>3</v>
      </c>
      <c r="I666">
        <v>3145</v>
      </c>
      <c r="J666">
        <v>9435</v>
      </c>
    </row>
    <row r="667" spans="1:10" x14ac:dyDescent="0.2">
      <c r="A667" s="3" t="s">
        <v>1125</v>
      </c>
      <c r="B667" s="5">
        <v>45184</v>
      </c>
      <c r="C667" s="3" t="s">
        <v>81</v>
      </c>
      <c r="D667" s="3" t="s">
        <v>1126</v>
      </c>
      <c r="E667" s="3" t="str">
        <f>VLOOKUP(ventas[[#This Row],[ID Producto]],productos[#All],3,FALSE)</f>
        <v>Abarrotes</v>
      </c>
      <c r="F667" s="10" t="s">
        <v>9</v>
      </c>
      <c r="G667" s="3" t="s">
        <v>456</v>
      </c>
      <c r="H667">
        <v>4</v>
      </c>
      <c r="I667">
        <v>3104</v>
      </c>
      <c r="J667">
        <v>12416</v>
      </c>
    </row>
    <row r="668" spans="1:10" x14ac:dyDescent="0.2">
      <c r="A668" s="3" t="s">
        <v>1127</v>
      </c>
      <c r="B668" s="5">
        <v>45220</v>
      </c>
      <c r="C668" s="3" t="s">
        <v>333</v>
      </c>
      <c r="D668" s="3" t="s">
        <v>1126</v>
      </c>
      <c r="E668" s="3" t="str">
        <f>VLOOKUP(ventas[[#This Row],[ID Producto]],productos[#All],3,FALSE)</f>
        <v>Abarrotes</v>
      </c>
      <c r="F668" s="10" t="s">
        <v>9</v>
      </c>
      <c r="G668" s="3" t="s">
        <v>453</v>
      </c>
      <c r="H668">
        <v>5</v>
      </c>
      <c r="I668">
        <v>3104</v>
      </c>
      <c r="J668">
        <v>1552</v>
      </c>
    </row>
    <row r="669" spans="1:10" x14ac:dyDescent="0.2">
      <c r="A669" s="3" t="s">
        <v>1128</v>
      </c>
      <c r="B669" s="5">
        <v>45203</v>
      </c>
      <c r="C669" s="3" t="s">
        <v>123</v>
      </c>
      <c r="D669" s="3" t="s">
        <v>1126</v>
      </c>
      <c r="E669" s="3" t="str">
        <f>VLOOKUP(ventas[[#This Row],[ID Producto]],productos[#All],3,FALSE)</f>
        <v>Abarrotes</v>
      </c>
      <c r="F669" s="9" t="s">
        <v>15</v>
      </c>
      <c r="G669" s="3" t="s">
        <v>453</v>
      </c>
      <c r="H669">
        <v>8</v>
      </c>
      <c r="I669">
        <v>3104</v>
      </c>
      <c r="J669">
        <v>24832</v>
      </c>
    </row>
    <row r="670" spans="1:10" x14ac:dyDescent="0.2">
      <c r="A670" s="3" t="s">
        <v>1129</v>
      </c>
      <c r="B670" s="5">
        <v>44947</v>
      </c>
      <c r="C670" s="3" t="s">
        <v>233</v>
      </c>
      <c r="D670" s="3" t="s">
        <v>1126</v>
      </c>
      <c r="E670" s="3" t="str">
        <f>VLOOKUP(ventas[[#This Row],[ID Producto]],productos[#All],3,FALSE)</f>
        <v>Abarrotes</v>
      </c>
      <c r="F670" s="9" t="s">
        <v>9</v>
      </c>
      <c r="G670" s="3" t="s">
        <v>463</v>
      </c>
      <c r="H670">
        <v>5</v>
      </c>
      <c r="I670">
        <v>3104</v>
      </c>
      <c r="J670">
        <v>1552</v>
      </c>
    </row>
    <row r="671" spans="1:10" x14ac:dyDescent="0.2">
      <c r="A671" s="3" t="s">
        <v>1130</v>
      </c>
      <c r="B671" s="5">
        <v>44979</v>
      </c>
      <c r="C671" s="3" t="s">
        <v>213</v>
      </c>
      <c r="D671" s="3" t="s">
        <v>1126</v>
      </c>
      <c r="E671" s="3" t="str">
        <f>VLOOKUP(ventas[[#This Row],[ID Producto]],productos[#All],3,FALSE)</f>
        <v>Abarrotes</v>
      </c>
      <c r="F671" s="9" t="s">
        <v>11</v>
      </c>
      <c r="G671" s="3" t="s">
        <v>453</v>
      </c>
      <c r="H671">
        <v>2</v>
      </c>
      <c r="I671">
        <v>3104</v>
      </c>
      <c r="J671">
        <v>6208</v>
      </c>
    </row>
    <row r="672" spans="1:10" x14ac:dyDescent="0.2">
      <c r="A672" s="3" t="s">
        <v>1131</v>
      </c>
      <c r="B672" s="5">
        <v>44961</v>
      </c>
      <c r="C672" s="3" t="s">
        <v>171</v>
      </c>
      <c r="D672" s="3" t="s">
        <v>1126</v>
      </c>
      <c r="E672" s="3" t="str">
        <f>VLOOKUP(ventas[[#This Row],[ID Producto]],productos[#All],3,FALSE)</f>
        <v>Abarrotes</v>
      </c>
      <c r="F672" s="10" t="s">
        <v>9</v>
      </c>
      <c r="G672" s="3" t="s">
        <v>463</v>
      </c>
      <c r="H672">
        <v>1</v>
      </c>
      <c r="I672">
        <v>3104</v>
      </c>
      <c r="J672">
        <v>3104</v>
      </c>
    </row>
    <row r="673" spans="1:10" x14ac:dyDescent="0.2">
      <c r="A673" s="3" t="s">
        <v>1132</v>
      </c>
      <c r="B673" s="5">
        <v>44989</v>
      </c>
      <c r="C673" s="3" t="s">
        <v>123</v>
      </c>
      <c r="D673" s="3" t="s">
        <v>1126</v>
      </c>
      <c r="E673" s="3" t="str">
        <f>VLOOKUP(ventas[[#This Row],[ID Producto]],productos[#All],3,FALSE)</f>
        <v>Abarrotes</v>
      </c>
      <c r="F673" s="10" t="s">
        <v>9</v>
      </c>
      <c r="G673" s="3" t="s">
        <v>456</v>
      </c>
      <c r="H673">
        <v>8</v>
      </c>
      <c r="I673">
        <v>3104</v>
      </c>
      <c r="J673">
        <v>24832</v>
      </c>
    </row>
    <row r="674" spans="1:10" x14ac:dyDescent="0.2">
      <c r="A674" s="3" t="s">
        <v>1133</v>
      </c>
      <c r="B674" s="5">
        <v>45025</v>
      </c>
      <c r="C674" s="3" t="s">
        <v>141</v>
      </c>
      <c r="D674" s="3" t="s">
        <v>1126</v>
      </c>
      <c r="E674" s="3" t="str">
        <f>VLOOKUP(ventas[[#This Row],[ID Producto]],productos[#All],3,FALSE)</f>
        <v>Abarrotes</v>
      </c>
      <c r="F674" s="9" t="s">
        <v>15</v>
      </c>
      <c r="G674" s="3" t="s">
        <v>463</v>
      </c>
      <c r="H674">
        <v>9</v>
      </c>
      <c r="I674">
        <v>3104</v>
      </c>
      <c r="J674">
        <v>27936</v>
      </c>
    </row>
    <row r="675" spans="1:10" x14ac:dyDescent="0.2">
      <c r="A675" s="3" t="s">
        <v>1134</v>
      </c>
      <c r="B675" s="5">
        <v>45167</v>
      </c>
      <c r="C675" s="3" t="s">
        <v>185</v>
      </c>
      <c r="D675" s="3" t="s">
        <v>1126</v>
      </c>
      <c r="E675" s="3" t="str">
        <f>VLOOKUP(ventas[[#This Row],[ID Producto]],productos[#All],3,FALSE)</f>
        <v>Abarrotes</v>
      </c>
      <c r="F675" s="9" t="s">
        <v>9</v>
      </c>
      <c r="G675" s="3" t="s">
        <v>453</v>
      </c>
      <c r="H675">
        <v>2</v>
      </c>
      <c r="I675">
        <v>3104</v>
      </c>
      <c r="J675">
        <v>6208</v>
      </c>
    </row>
    <row r="676" spans="1:10" x14ac:dyDescent="0.2">
      <c r="A676" s="3" t="s">
        <v>1135</v>
      </c>
      <c r="B676" s="5">
        <v>44954</v>
      </c>
      <c r="C676" s="3" t="s">
        <v>313</v>
      </c>
      <c r="D676" s="3" t="s">
        <v>1126</v>
      </c>
      <c r="E676" s="3" t="str">
        <f>VLOOKUP(ventas[[#This Row],[ID Producto]],productos[#All],3,FALSE)</f>
        <v>Abarrotes</v>
      </c>
      <c r="F676" s="9" t="s">
        <v>11</v>
      </c>
      <c r="G676" s="3" t="s">
        <v>456</v>
      </c>
      <c r="H676">
        <v>4</v>
      </c>
      <c r="I676">
        <v>3104</v>
      </c>
      <c r="J676">
        <v>12416</v>
      </c>
    </row>
    <row r="677" spans="1:10" x14ac:dyDescent="0.2">
      <c r="A677" s="3" t="s">
        <v>1136</v>
      </c>
      <c r="B677" s="5">
        <v>45042</v>
      </c>
      <c r="C677" s="3" t="s">
        <v>129</v>
      </c>
      <c r="D677" s="3" t="s">
        <v>1126</v>
      </c>
      <c r="E677" s="3" t="str">
        <f>VLOOKUP(ventas[[#This Row],[ID Producto]],productos[#All],3,FALSE)</f>
        <v>Abarrotes</v>
      </c>
      <c r="F677" s="10" t="s">
        <v>9</v>
      </c>
      <c r="G677" s="3" t="s">
        <v>456</v>
      </c>
      <c r="H677">
        <v>2</v>
      </c>
      <c r="I677">
        <v>3104</v>
      </c>
      <c r="J677">
        <v>6208</v>
      </c>
    </row>
    <row r="678" spans="1:10" x14ac:dyDescent="0.2">
      <c r="A678" s="3" t="s">
        <v>1137</v>
      </c>
      <c r="B678" s="5">
        <v>45091</v>
      </c>
      <c r="C678" s="3" t="s">
        <v>227</v>
      </c>
      <c r="D678" s="3" t="s">
        <v>1126</v>
      </c>
      <c r="E678" s="3" t="str">
        <f>VLOOKUP(ventas[[#This Row],[ID Producto]],productos[#All],3,FALSE)</f>
        <v>Abarrotes</v>
      </c>
      <c r="F678" s="10" t="s">
        <v>9</v>
      </c>
      <c r="G678" s="3" t="s">
        <v>463</v>
      </c>
      <c r="H678">
        <v>9</v>
      </c>
      <c r="I678">
        <v>3104</v>
      </c>
      <c r="J678">
        <v>27936</v>
      </c>
    </row>
    <row r="679" spans="1:10" x14ac:dyDescent="0.2">
      <c r="A679" s="3" t="s">
        <v>1138</v>
      </c>
      <c r="B679" s="5">
        <v>45150</v>
      </c>
      <c r="C679" s="3" t="s">
        <v>307</v>
      </c>
      <c r="D679" s="3" t="s">
        <v>1126</v>
      </c>
      <c r="E679" s="3" t="str">
        <f>VLOOKUP(ventas[[#This Row],[ID Producto]],productos[#All],3,FALSE)</f>
        <v>Abarrotes</v>
      </c>
      <c r="F679" s="9" t="s">
        <v>15</v>
      </c>
      <c r="G679" s="3" t="s">
        <v>453</v>
      </c>
      <c r="H679">
        <v>7</v>
      </c>
      <c r="I679">
        <v>3104</v>
      </c>
      <c r="J679">
        <v>21728</v>
      </c>
    </row>
    <row r="680" spans="1:10" x14ac:dyDescent="0.2">
      <c r="A680" s="3" t="s">
        <v>1139</v>
      </c>
      <c r="B680" s="5">
        <v>45144</v>
      </c>
      <c r="C680" s="3" t="s">
        <v>389</v>
      </c>
      <c r="D680" s="3" t="s">
        <v>1126</v>
      </c>
      <c r="E680" s="3" t="str">
        <f>VLOOKUP(ventas[[#This Row],[ID Producto]],productos[#All],3,FALSE)</f>
        <v>Abarrotes</v>
      </c>
      <c r="F680" s="9" t="s">
        <v>9</v>
      </c>
      <c r="G680" s="3" t="s">
        <v>453</v>
      </c>
      <c r="H680">
        <v>1</v>
      </c>
      <c r="I680">
        <v>3104</v>
      </c>
      <c r="J680">
        <v>3104</v>
      </c>
    </row>
    <row r="681" spans="1:10" x14ac:dyDescent="0.2">
      <c r="A681" s="3" t="s">
        <v>1140</v>
      </c>
      <c r="B681" s="5">
        <v>45250</v>
      </c>
      <c r="C681" s="3" t="s">
        <v>411</v>
      </c>
      <c r="D681" s="3" t="s">
        <v>1126</v>
      </c>
      <c r="E681" s="3" t="str">
        <f>VLOOKUP(ventas[[#This Row],[ID Producto]],productos[#All],3,FALSE)</f>
        <v>Abarrotes</v>
      </c>
      <c r="F681" s="9" t="s">
        <v>11</v>
      </c>
      <c r="G681" s="3" t="s">
        <v>456</v>
      </c>
      <c r="H681">
        <v>5</v>
      </c>
      <c r="I681">
        <v>3104</v>
      </c>
      <c r="J681">
        <v>1552</v>
      </c>
    </row>
    <row r="682" spans="1:10" x14ac:dyDescent="0.2">
      <c r="A682" s="3" t="s">
        <v>1141</v>
      </c>
      <c r="B682" s="5">
        <v>45234</v>
      </c>
      <c r="C682" s="3" t="s">
        <v>255</v>
      </c>
      <c r="D682" s="3" t="s">
        <v>1126</v>
      </c>
      <c r="E682" s="3" t="str">
        <f>VLOOKUP(ventas[[#This Row],[ID Producto]],productos[#All],3,FALSE)</f>
        <v>Abarrotes</v>
      </c>
      <c r="F682" s="10" t="s">
        <v>9</v>
      </c>
      <c r="G682" s="3" t="s">
        <v>463</v>
      </c>
      <c r="H682">
        <v>2</v>
      </c>
      <c r="I682">
        <v>3104</v>
      </c>
      <c r="J682">
        <v>6208</v>
      </c>
    </row>
    <row r="683" spans="1:10" x14ac:dyDescent="0.2">
      <c r="A683" s="3" t="s">
        <v>1142</v>
      </c>
      <c r="B683" s="5">
        <v>45272</v>
      </c>
      <c r="C683" s="3" t="s">
        <v>393</v>
      </c>
      <c r="D683" s="3" t="s">
        <v>1126</v>
      </c>
      <c r="E683" s="3" t="str">
        <f>VLOOKUP(ventas[[#This Row],[ID Producto]],productos[#All],3,FALSE)</f>
        <v>Abarrotes</v>
      </c>
      <c r="F683" s="10" t="s">
        <v>9</v>
      </c>
      <c r="G683" s="3" t="s">
        <v>463</v>
      </c>
      <c r="H683">
        <v>6</v>
      </c>
      <c r="I683">
        <v>3104</v>
      </c>
      <c r="J683">
        <v>18624</v>
      </c>
    </row>
    <row r="684" spans="1:10" x14ac:dyDescent="0.2">
      <c r="A684" s="3" t="s">
        <v>1143</v>
      </c>
      <c r="B684" s="5">
        <v>44964</v>
      </c>
      <c r="C684" s="3" t="s">
        <v>203</v>
      </c>
      <c r="D684" s="3" t="s">
        <v>1126</v>
      </c>
      <c r="E684" s="3" t="str">
        <f>VLOOKUP(ventas[[#This Row],[ID Producto]],productos[#All],3,FALSE)</f>
        <v>Abarrotes</v>
      </c>
      <c r="F684" s="9" t="s">
        <v>15</v>
      </c>
      <c r="G684" s="3" t="s">
        <v>463</v>
      </c>
      <c r="H684">
        <v>9</v>
      </c>
      <c r="I684">
        <v>3104</v>
      </c>
      <c r="J684">
        <v>27936</v>
      </c>
    </row>
    <row r="685" spans="1:10" x14ac:dyDescent="0.2">
      <c r="A685" s="3" t="s">
        <v>1144</v>
      </c>
      <c r="B685" s="5">
        <v>45230</v>
      </c>
      <c r="C685" s="3" t="s">
        <v>61</v>
      </c>
      <c r="D685" s="3" t="s">
        <v>1126</v>
      </c>
      <c r="E685" s="3" t="str">
        <f>VLOOKUP(ventas[[#This Row],[ID Producto]],productos[#All],3,FALSE)</f>
        <v>Abarrotes</v>
      </c>
      <c r="F685" s="9" t="s">
        <v>9</v>
      </c>
      <c r="G685" s="3" t="s">
        <v>463</v>
      </c>
      <c r="H685">
        <v>1</v>
      </c>
      <c r="I685">
        <v>3104</v>
      </c>
      <c r="J685">
        <v>3104</v>
      </c>
    </row>
    <row r="686" spans="1:10" x14ac:dyDescent="0.2">
      <c r="A686" s="3" t="s">
        <v>1145</v>
      </c>
      <c r="B686" s="5">
        <v>45249</v>
      </c>
      <c r="C686" s="3" t="s">
        <v>363</v>
      </c>
      <c r="D686" s="3" t="s">
        <v>1126</v>
      </c>
      <c r="E686" s="3" t="str">
        <f>VLOOKUP(ventas[[#This Row],[ID Producto]],productos[#All],3,FALSE)</f>
        <v>Abarrotes</v>
      </c>
      <c r="F686" s="9" t="s">
        <v>11</v>
      </c>
      <c r="G686" s="3" t="s">
        <v>453</v>
      </c>
      <c r="H686">
        <v>2</v>
      </c>
      <c r="I686">
        <v>3104</v>
      </c>
      <c r="J686">
        <v>6208</v>
      </c>
    </row>
    <row r="687" spans="1:10" x14ac:dyDescent="0.2">
      <c r="A687" s="3" t="s">
        <v>1146</v>
      </c>
      <c r="B687" s="5">
        <v>45030</v>
      </c>
      <c r="C687" s="3" t="s">
        <v>253</v>
      </c>
      <c r="D687" s="3" t="s">
        <v>1126</v>
      </c>
      <c r="E687" s="3" t="str">
        <f>VLOOKUP(ventas[[#This Row],[ID Producto]],productos[#All],3,FALSE)</f>
        <v>Abarrotes</v>
      </c>
      <c r="F687" s="10" t="s">
        <v>9</v>
      </c>
      <c r="G687" s="3" t="s">
        <v>453</v>
      </c>
      <c r="H687">
        <v>9</v>
      </c>
      <c r="I687">
        <v>3104</v>
      </c>
      <c r="J687">
        <v>27936</v>
      </c>
    </row>
    <row r="688" spans="1:10" x14ac:dyDescent="0.2">
      <c r="A688" s="3" t="s">
        <v>1147</v>
      </c>
      <c r="B688" s="5">
        <v>45172</v>
      </c>
      <c r="C688" s="3" t="s">
        <v>55</v>
      </c>
      <c r="D688" s="3" t="s">
        <v>1126</v>
      </c>
      <c r="E688" s="3" t="str">
        <f>VLOOKUP(ventas[[#This Row],[ID Producto]],productos[#All],3,FALSE)</f>
        <v>Abarrotes</v>
      </c>
      <c r="F688" s="10" t="s">
        <v>9</v>
      </c>
      <c r="G688" s="3" t="s">
        <v>453</v>
      </c>
      <c r="H688">
        <v>4</v>
      </c>
      <c r="I688">
        <v>3104</v>
      </c>
      <c r="J688">
        <v>12416</v>
      </c>
    </row>
    <row r="689" spans="1:10" x14ac:dyDescent="0.2">
      <c r="A689" s="3" t="s">
        <v>1148</v>
      </c>
      <c r="B689" s="5">
        <v>45173</v>
      </c>
      <c r="C689" s="3" t="s">
        <v>265</v>
      </c>
      <c r="D689" s="3" t="s">
        <v>1126</v>
      </c>
      <c r="E689" s="3" t="str">
        <f>VLOOKUP(ventas[[#This Row],[ID Producto]],productos[#All],3,FALSE)</f>
        <v>Abarrotes</v>
      </c>
      <c r="F689" s="9" t="s">
        <v>15</v>
      </c>
      <c r="G689" s="3" t="s">
        <v>456</v>
      </c>
      <c r="H689">
        <v>5</v>
      </c>
      <c r="I689">
        <v>3104</v>
      </c>
      <c r="J689">
        <v>1552</v>
      </c>
    </row>
    <row r="690" spans="1:10" x14ac:dyDescent="0.2">
      <c r="A690" s="3" t="s">
        <v>1149</v>
      </c>
      <c r="B690" s="5">
        <v>45190</v>
      </c>
      <c r="C690" s="3" t="s">
        <v>139</v>
      </c>
      <c r="D690" s="3" t="s">
        <v>1126</v>
      </c>
      <c r="E690" s="3" t="str">
        <f>VLOOKUP(ventas[[#This Row],[ID Producto]],productos[#All],3,FALSE)</f>
        <v>Abarrotes</v>
      </c>
      <c r="F690" s="9" t="s">
        <v>9</v>
      </c>
      <c r="G690" s="3" t="s">
        <v>456</v>
      </c>
      <c r="H690">
        <v>5</v>
      </c>
      <c r="I690">
        <v>3104</v>
      </c>
      <c r="J690">
        <v>1552</v>
      </c>
    </row>
    <row r="691" spans="1:10" x14ac:dyDescent="0.2">
      <c r="A691" s="3" t="s">
        <v>1150</v>
      </c>
      <c r="B691" s="5">
        <v>45122</v>
      </c>
      <c r="C691" s="3" t="s">
        <v>149</v>
      </c>
      <c r="D691" s="3" t="s">
        <v>1126</v>
      </c>
      <c r="E691" s="3" t="str">
        <f>VLOOKUP(ventas[[#This Row],[ID Producto]],productos[#All],3,FALSE)</f>
        <v>Abarrotes</v>
      </c>
      <c r="F691" s="9" t="s">
        <v>11</v>
      </c>
      <c r="G691" s="3" t="s">
        <v>463</v>
      </c>
      <c r="H691">
        <v>5</v>
      </c>
      <c r="I691">
        <v>3104</v>
      </c>
      <c r="J691">
        <v>1552</v>
      </c>
    </row>
    <row r="692" spans="1:10" x14ac:dyDescent="0.2">
      <c r="A692" s="3" t="s">
        <v>1151</v>
      </c>
      <c r="B692" s="5">
        <v>45291</v>
      </c>
      <c r="C692" s="3" t="s">
        <v>119</v>
      </c>
      <c r="D692" s="3" t="s">
        <v>1126</v>
      </c>
      <c r="E692" s="3" t="str">
        <f>VLOOKUP(ventas[[#This Row],[ID Producto]],productos[#All],3,FALSE)</f>
        <v>Abarrotes</v>
      </c>
      <c r="F692" s="10" t="s">
        <v>9</v>
      </c>
      <c r="G692" s="3" t="s">
        <v>453</v>
      </c>
      <c r="H692">
        <v>2</v>
      </c>
      <c r="I692">
        <v>3104</v>
      </c>
      <c r="J692">
        <v>6208</v>
      </c>
    </row>
    <row r="693" spans="1:10" x14ac:dyDescent="0.2">
      <c r="A693" s="3" t="s">
        <v>1152</v>
      </c>
      <c r="B693" s="5">
        <v>45015</v>
      </c>
      <c r="C693" s="3" t="s">
        <v>255</v>
      </c>
      <c r="D693" s="3" t="s">
        <v>1126</v>
      </c>
      <c r="E693" s="3" t="str">
        <f>VLOOKUP(ventas[[#This Row],[ID Producto]],productos[#All],3,FALSE)</f>
        <v>Abarrotes</v>
      </c>
      <c r="F693" s="10" t="s">
        <v>9</v>
      </c>
      <c r="G693" s="3" t="s">
        <v>456</v>
      </c>
      <c r="H693">
        <v>9</v>
      </c>
      <c r="I693">
        <v>3104</v>
      </c>
      <c r="J693">
        <v>27936</v>
      </c>
    </row>
    <row r="694" spans="1:10" x14ac:dyDescent="0.2">
      <c r="A694" s="3" t="s">
        <v>1153</v>
      </c>
      <c r="B694" s="5">
        <v>45163</v>
      </c>
      <c r="C694" s="3" t="s">
        <v>131</v>
      </c>
      <c r="D694" s="3" t="s">
        <v>1126</v>
      </c>
      <c r="E694" s="3" t="str">
        <f>VLOOKUP(ventas[[#This Row],[ID Producto]],productos[#All],3,FALSE)</f>
        <v>Abarrotes</v>
      </c>
      <c r="F694" s="9" t="s">
        <v>15</v>
      </c>
      <c r="G694" s="3" t="s">
        <v>453</v>
      </c>
      <c r="H694">
        <v>5</v>
      </c>
      <c r="I694">
        <v>3104</v>
      </c>
      <c r="J694">
        <v>1552</v>
      </c>
    </row>
    <row r="695" spans="1:10" x14ac:dyDescent="0.2">
      <c r="A695" s="3" t="s">
        <v>1154</v>
      </c>
      <c r="B695" s="5">
        <v>45173</v>
      </c>
      <c r="C695" s="3" t="s">
        <v>405</v>
      </c>
      <c r="D695" s="3" t="s">
        <v>1126</v>
      </c>
      <c r="E695" s="3" t="str">
        <f>VLOOKUP(ventas[[#This Row],[ID Producto]],productos[#All],3,FALSE)</f>
        <v>Abarrotes</v>
      </c>
      <c r="F695" s="9" t="s">
        <v>9</v>
      </c>
      <c r="G695" s="3" t="s">
        <v>456</v>
      </c>
      <c r="H695">
        <v>4</v>
      </c>
      <c r="I695">
        <v>3104</v>
      </c>
      <c r="J695">
        <v>12416</v>
      </c>
    </row>
    <row r="696" spans="1:10" x14ac:dyDescent="0.2">
      <c r="A696" s="3" t="s">
        <v>1155</v>
      </c>
      <c r="B696" s="5">
        <v>45267</v>
      </c>
      <c r="C696" s="3" t="s">
        <v>141</v>
      </c>
      <c r="D696" s="3" t="s">
        <v>1126</v>
      </c>
      <c r="E696" s="3" t="str">
        <f>VLOOKUP(ventas[[#This Row],[ID Producto]],productos[#All],3,FALSE)</f>
        <v>Abarrotes</v>
      </c>
      <c r="F696" s="9" t="s">
        <v>11</v>
      </c>
      <c r="G696" s="3" t="s">
        <v>453</v>
      </c>
      <c r="H696">
        <v>5</v>
      </c>
      <c r="I696">
        <v>3104</v>
      </c>
      <c r="J696">
        <v>1552</v>
      </c>
    </row>
    <row r="697" spans="1:10" x14ac:dyDescent="0.2">
      <c r="A697" s="3" t="s">
        <v>1156</v>
      </c>
      <c r="B697" s="5">
        <v>45026</v>
      </c>
      <c r="C697" s="3" t="s">
        <v>171</v>
      </c>
      <c r="D697" s="3" t="s">
        <v>1126</v>
      </c>
      <c r="E697" s="3" t="str">
        <f>VLOOKUP(ventas[[#This Row],[ID Producto]],productos[#All],3,FALSE)</f>
        <v>Abarrotes</v>
      </c>
      <c r="F697" s="10" t="s">
        <v>9</v>
      </c>
      <c r="G697" s="3" t="s">
        <v>456</v>
      </c>
      <c r="H697">
        <v>1</v>
      </c>
      <c r="I697">
        <v>3104</v>
      </c>
      <c r="J697">
        <v>3104</v>
      </c>
    </row>
    <row r="698" spans="1:10" x14ac:dyDescent="0.2">
      <c r="A698" s="3" t="s">
        <v>1157</v>
      </c>
      <c r="B698" s="5">
        <v>45106</v>
      </c>
      <c r="C698" s="3" t="s">
        <v>333</v>
      </c>
      <c r="D698" s="3" t="s">
        <v>1126</v>
      </c>
      <c r="E698" s="3" t="str">
        <f>VLOOKUP(ventas[[#This Row],[ID Producto]],productos[#All],3,FALSE)</f>
        <v>Abarrotes</v>
      </c>
      <c r="F698" s="10" t="s">
        <v>9</v>
      </c>
      <c r="G698" s="3" t="s">
        <v>463</v>
      </c>
      <c r="H698">
        <v>8</v>
      </c>
      <c r="I698">
        <v>3104</v>
      </c>
      <c r="J698">
        <v>24832</v>
      </c>
    </row>
    <row r="699" spans="1:10" x14ac:dyDescent="0.2">
      <c r="A699" s="3" t="s">
        <v>1158</v>
      </c>
      <c r="B699" s="5">
        <v>45183</v>
      </c>
      <c r="C699" s="3" t="s">
        <v>141</v>
      </c>
      <c r="D699" s="3" t="s">
        <v>1126</v>
      </c>
      <c r="E699" s="3" t="str">
        <f>VLOOKUP(ventas[[#This Row],[ID Producto]],productos[#All],3,FALSE)</f>
        <v>Abarrotes</v>
      </c>
      <c r="F699" s="9" t="s">
        <v>15</v>
      </c>
      <c r="G699" s="3" t="s">
        <v>453</v>
      </c>
      <c r="H699">
        <v>2</v>
      </c>
      <c r="I699">
        <v>3104</v>
      </c>
      <c r="J699">
        <v>6208</v>
      </c>
    </row>
    <row r="700" spans="1:10" x14ac:dyDescent="0.2">
      <c r="A700" s="3" t="s">
        <v>1159</v>
      </c>
      <c r="B700" s="5">
        <v>44930</v>
      </c>
      <c r="C700" s="3" t="s">
        <v>67</v>
      </c>
      <c r="D700" s="3" t="s">
        <v>1126</v>
      </c>
      <c r="E700" s="3" t="str">
        <f>VLOOKUP(ventas[[#This Row],[ID Producto]],productos[#All],3,FALSE)</f>
        <v>Abarrotes</v>
      </c>
      <c r="F700" s="9" t="s">
        <v>9</v>
      </c>
      <c r="G700" s="3" t="s">
        <v>453</v>
      </c>
      <c r="H700">
        <v>6</v>
      </c>
      <c r="I700">
        <v>3104</v>
      </c>
      <c r="J700">
        <v>18624</v>
      </c>
    </row>
    <row r="701" spans="1:10" x14ac:dyDescent="0.2">
      <c r="A701" s="3" t="s">
        <v>1160</v>
      </c>
      <c r="B701" s="5">
        <v>45122</v>
      </c>
      <c r="C701" s="3" t="s">
        <v>263</v>
      </c>
      <c r="D701" s="3" t="s">
        <v>1126</v>
      </c>
      <c r="E701" s="3" t="str">
        <f>VLOOKUP(ventas[[#This Row],[ID Producto]],productos[#All],3,FALSE)</f>
        <v>Abarrotes</v>
      </c>
      <c r="F701" s="9" t="s">
        <v>11</v>
      </c>
      <c r="G701" s="3" t="s">
        <v>453</v>
      </c>
      <c r="H701">
        <v>3</v>
      </c>
      <c r="I701">
        <v>3104</v>
      </c>
      <c r="J701">
        <v>9312</v>
      </c>
    </row>
    <row r="702" spans="1:10" x14ac:dyDescent="0.2">
      <c r="A702" s="3" t="s">
        <v>1161</v>
      </c>
      <c r="B702" s="5">
        <v>45194</v>
      </c>
      <c r="C702" s="3" t="s">
        <v>83</v>
      </c>
      <c r="D702" s="3" t="s">
        <v>1126</v>
      </c>
      <c r="E702" s="3" t="str">
        <f>VLOOKUP(ventas[[#This Row],[ID Producto]],productos[#All],3,FALSE)</f>
        <v>Abarrotes</v>
      </c>
      <c r="F702" s="10" t="s">
        <v>9</v>
      </c>
      <c r="G702" s="3" t="s">
        <v>463</v>
      </c>
      <c r="H702">
        <v>3</v>
      </c>
      <c r="I702">
        <v>3104</v>
      </c>
      <c r="J702">
        <v>9312</v>
      </c>
    </row>
    <row r="703" spans="1:10" x14ac:dyDescent="0.2">
      <c r="A703" s="3" t="s">
        <v>1162</v>
      </c>
      <c r="B703" s="5">
        <v>45002</v>
      </c>
      <c r="C703" s="3" t="s">
        <v>313</v>
      </c>
      <c r="D703" s="3" t="s">
        <v>1126</v>
      </c>
      <c r="E703" s="3" t="str">
        <f>VLOOKUP(ventas[[#This Row],[ID Producto]],productos[#All],3,FALSE)</f>
        <v>Abarrotes</v>
      </c>
      <c r="F703" s="10" t="s">
        <v>9</v>
      </c>
      <c r="G703" s="3" t="s">
        <v>456</v>
      </c>
      <c r="H703">
        <v>6</v>
      </c>
      <c r="I703">
        <v>3104</v>
      </c>
      <c r="J703">
        <v>18624</v>
      </c>
    </row>
    <row r="704" spans="1:10" x14ac:dyDescent="0.2">
      <c r="A704" s="3" t="s">
        <v>1163</v>
      </c>
      <c r="B704" s="5">
        <v>45070</v>
      </c>
      <c r="C704" s="3" t="s">
        <v>363</v>
      </c>
      <c r="D704" s="3" t="s">
        <v>1126</v>
      </c>
      <c r="E704" s="3" t="str">
        <f>VLOOKUP(ventas[[#This Row],[ID Producto]],productos[#All],3,FALSE)</f>
        <v>Abarrotes</v>
      </c>
      <c r="F704" s="9" t="s">
        <v>15</v>
      </c>
      <c r="G704" s="3" t="s">
        <v>453</v>
      </c>
      <c r="H704">
        <v>2</v>
      </c>
      <c r="I704">
        <v>3104</v>
      </c>
      <c r="J704">
        <v>6208</v>
      </c>
    </row>
    <row r="705" spans="1:10" x14ac:dyDescent="0.2">
      <c r="A705" s="3" t="s">
        <v>1164</v>
      </c>
      <c r="B705" s="5">
        <v>45253</v>
      </c>
      <c r="C705" s="3" t="s">
        <v>385</v>
      </c>
      <c r="D705" s="3" t="s">
        <v>1126</v>
      </c>
      <c r="E705" s="3" t="str">
        <f>VLOOKUP(ventas[[#This Row],[ID Producto]],productos[#All],3,FALSE)</f>
        <v>Abarrotes</v>
      </c>
      <c r="F705" s="9" t="s">
        <v>9</v>
      </c>
      <c r="G705" s="3" t="s">
        <v>453</v>
      </c>
      <c r="H705">
        <v>1</v>
      </c>
      <c r="I705">
        <v>3104</v>
      </c>
      <c r="J705">
        <v>3104</v>
      </c>
    </row>
    <row r="706" spans="1:10" x14ac:dyDescent="0.2">
      <c r="A706" s="3" t="s">
        <v>1165</v>
      </c>
      <c r="B706" s="5">
        <v>44965</v>
      </c>
      <c r="C706" s="3" t="s">
        <v>373</v>
      </c>
      <c r="D706" s="3" t="s">
        <v>1126</v>
      </c>
      <c r="E706" s="3" t="str">
        <f>VLOOKUP(ventas[[#This Row],[ID Producto]],productos[#All],3,FALSE)</f>
        <v>Abarrotes</v>
      </c>
      <c r="F706" s="9" t="s">
        <v>11</v>
      </c>
      <c r="G706" s="3" t="s">
        <v>453</v>
      </c>
      <c r="H706">
        <v>7</v>
      </c>
      <c r="I706">
        <v>3104</v>
      </c>
      <c r="J706">
        <v>21728</v>
      </c>
    </row>
    <row r="707" spans="1:10" x14ac:dyDescent="0.2">
      <c r="A707" s="3" t="s">
        <v>1166</v>
      </c>
      <c r="B707" s="5">
        <v>45067</v>
      </c>
      <c r="C707" s="3" t="s">
        <v>171</v>
      </c>
      <c r="D707" s="3" t="s">
        <v>1126</v>
      </c>
      <c r="E707" s="3" t="str">
        <f>VLOOKUP(ventas[[#This Row],[ID Producto]],productos[#All],3,FALSE)</f>
        <v>Abarrotes</v>
      </c>
      <c r="F707" s="10" t="s">
        <v>9</v>
      </c>
      <c r="G707" s="3" t="s">
        <v>453</v>
      </c>
      <c r="H707">
        <v>5</v>
      </c>
      <c r="I707">
        <v>3104</v>
      </c>
      <c r="J707">
        <v>1552</v>
      </c>
    </row>
    <row r="708" spans="1:10" x14ac:dyDescent="0.2">
      <c r="A708" s="3" t="s">
        <v>1167</v>
      </c>
      <c r="B708" s="5">
        <v>44940</v>
      </c>
      <c r="C708" s="3" t="s">
        <v>227</v>
      </c>
      <c r="D708" s="3" t="s">
        <v>1126</v>
      </c>
      <c r="E708" s="3" t="str">
        <f>VLOOKUP(ventas[[#This Row],[ID Producto]],productos[#All],3,FALSE)</f>
        <v>Abarrotes</v>
      </c>
      <c r="F708" s="10" t="s">
        <v>9</v>
      </c>
      <c r="G708" s="3" t="s">
        <v>463</v>
      </c>
      <c r="H708">
        <v>3</v>
      </c>
      <c r="I708">
        <v>3104</v>
      </c>
      <c r="J708">
        <v>9312</v>
      </c>
    </row>
    <row r="709" spans="1:10" x14ac:dyDescent="0.2">
      <c r="A709" s="3" t="s">
        <v>1168</v>
      </c>
      <c r="B709" s="5">
        <v>45166</v>
      </c>
      <c r="C709" s="3" t="s">
        <v>143</v>
      </c>
      <c r="D709" s="3" t="s">
        <v>1126</v>
      </c>
      <c r="E709" s="3" t="str">
        <f>VLOOKUP(ventas[[#This Row],[ID Producto]],productos[#All],3,FALSE)</f>
        <v>Abarrotes</v>
      </c>
      <c r="F709" s="9" t="s">
        <v>15</v>
      </c>
      <c r="G709" s="3" t="s">
        <v>463</v>
      </c>
      <c r="H709">
        <v>2</v>
      </c>
      <c r="I709">
        <v>3104</v>
      </c>
      <c r="J709">
        <v>6208</v>
      </c>
    </row>
    <row r="710" spans="1:10" x14ac:dyDescent="0.2">
      <c r="A710" s="3" t="s">
        <v>1169</v>
      </c>
      <c r="B710" s="5">
        <v>45182</v>
      </c>
      <c r="C710" s="3" t="s">
        <v>225</v>
      </c>
      <c r="D710" s="3" t="s">
        <v>1126</v>
      </c>
      <c r="E710" s="3" t="str">
        <f>VLOOKUP(ventas[[#This Row],[ID Producto]],productos[#All],3,FALSE)</f>
        <v>Abarrotes</v>
      </c>
      <c r="F710" s="9" t="s">
        <v>9</v>
      </c>
      <c r="G710" s="3" t="s">
        <v>456</v>
      </c>
      <c r="H710">
        <v>5</v>
      </c>
      <c r="I710">
        <v>3104</v>
      </c>
      <c r="J710">
        <v>1552</v>
      </c>
    </row>
    <row r="711" spans="1:10" x14ac:dyDescent="0.2">
      <c r="A711" s="3" t="s">
        <v>1170</v>
      </c>
      <c r="B711" s="5">
        <v>44991</v>
      </c>
      <c r="C711" s="3" t="s">
        <v>109</v>
      </c>
      <c r="D711" s="3" t="s">
        <v>1126</v>
      </c>
      <c r="E711" s="3" t="str">
        <f>VLOOKUP(ventas[[#This Row],[ID Producto]],productos[#All],3,FALSE)</f>
        <v>Abarrotes</v>
      </c>
      <c r="F711" s="9" t="s">
        <v>11</v>
      </c>
      <c r="G711" s="3" t="s">
        <v>456</v>
      </c>
      <c r="H711">
        <v>8</v>
      </c>
      <c r="I711">
        <v>3104</v>
      </c>
      <c r="J711">
        <v>24832</v>
      </c>
    </row>
    <row r="712" spans="1:10" x14ac:dyDescent="0.2">
      <c r="A712" s="3" t="s">
        <v>1171</v>
      </c>
      <c r="B712" s="5">
        <v>44977</v>
      </c>
      <c r="C712" s="3" t="s">
        <v>173</v>
      </c>
      <c r="D712" s="3" t="s">
        <v>1126</v>
      </c>
      <c r="E712" s="3" t="str">
        <f>VLOOKUP(ventas[[#This Row],[ID Producto]],productos[#All],3,FALSE)</f>
        <v>Abarrotes</v>
      </c>
      <c r="F712" s="10" t="s">
        <v>9</v>
      </c>
      <c r="G712" s="3" t="s">
        <v>456</v>
      </c>
      <c r="H712">
        <v>1</v>
      </c>
      <c r="I712">
        <v>3104</v>
      </c>
      <c r="J712">
        <v>3104</v>
      </c>
    </row>
    <row r="713" spans="1:10" x14ac:dyDescent="0.2">
      <c r="A713" s="3" t="s">
        <v>1172</v>
      </c>
      <c r="B713" s="5">
        <v>45140</v>
      </c>
      <c r="C713" s="3" t="s">
        <v>89</v>
      </c>
      <c r="D713" s="3" t="s">
        <v>1126</v>
      </c>
      <c r="E713" s="3" t="str">
        <f>VLOOKUP(ventas[[#This Row],[ID Producto]],productos[#All],3,FALSE)</f>
        <v>Abarrotes</v>
      </c>
      <c r="F713" s="10" t="s">
        <v>9</v>
      </c>
      <c r="G713" s="3" t="s">
        <v>463</v>
      </c>
      <c r="H713">
        <v>8</v>
      </c>
      <c r="I713">
        <v>3104</v>
      </c>
      <c r="J713">
        <v>24832</v>
      </c>
    </row>
    <row r="714" spans="1:10" x14ac:dyDescent="0.2">
      <c r="A714" s="3" t="s">
        <v>1173</v>
      </c>
      <c r="B714" s="5">
        <v>45080</v>
      </c>
      <c r="C714" s="3" t="s">
        <v>379</v>
      </c>
      <c r="D714" s="3" t="s">
        <v>1126</v>
      </c>
      <c r="E714" s="3" t="str">
        <f>VLOOKUP(ventas[[#This Row],[ID Producto]],productos[#All],3,FALSE)</f>
        <v>Abarrotes</v>
      </c>
      <c r="F714" s="9" t="s">
        <v>15</v>
      </c>
      <c r="G714" s="3" t="s">
        <v>456</v>
      </c>
      <c r="H714">
        <v>6</v>
      </c>
      <c r="I714">
        <v>3104</v>
      </c>
      <c r="J714">
        <v>18624</v>
      </c>
    </row>
    <row r="715" spans="1:10" x14ac:dyDescent="0.2">
      <c r="A715" s="3" t="s">
        <v>1174</v>
      </c>
      <c r="B715" s="5">
        <v>44933</v>
      </c>
      <c r="C715" s="3" t="s">
        <v>113</v>
      </c>
      <c r="D715" s="3" t="s">
        <v>1126</v>
      </c>
      <c r="E715" s="3" t="str">
        <f>VLOOKUP(ventas[[#This Row],[ID Producto]],productos[#All],3,FALSE)</f>
        <v>Abarrotes</v>
      </c>
      <c r="F715" s="9" t="s">
        <v>9</v>
      </c>
      <c r="G715" s="3" t="s">
        <v>453</v>
      </c>
      <c r="H715">
        <v>8</v>
      </c>
      <c r="I715">
        <v>3104</v>
      </c>
      <c r="J715">
        <v>24832</v>
      </c>
    </row>
    <row r="716" spans="1:10" x14ac:dyDescent="0.2">
      <c r="A716" s="3" t="s">
        <v>1175</v>
      </c>
      <c r="B716" s="5">
        <v>45289</v>
      </c>
      <c r="C716" s="3" t="s">
        <v>69</v>
      </c>
      <c r="D716" s="3" t="s">
        <v>1126</v>
      </c>
      <c r="E716" s="3" t="str">
        <f>VLOOKUP(ventas[[#This Row],[ID Producto]],productos[#All],3,FALSE)</f>
        <v>Abarrotes</v>
      </c>
      <c r="F716" s="9" t="s">
        <v>11</v>
      </c>
      <c r="G716" s="3" t="s">
        <v>453</v>
      </c>
      <c r="H716">
        <v>3</v>
      </c>
      <c r="I716">
        <v>3104</v>
      </c>
      <c r="J716">
        <v>9312</v>
      </c>
    </row>
    <row r="717" spans="1:10" x14ac:dyDescent="0.2">
      <c r="A717" s="3" t="s">
        <v>1176</v>
      </c>
      <c r="B717" s="5">
        <v>45200</v>
      </c>
      <c r="C717" s="3" t="s">
        <v>223</v>
      </c>
      <c r="D717" s="3" t="s">
        <v>1126</v>
      </c>
      <c r="E717" s="3" t="str">
        <f>VLOOKUP(ventas[[#This Row],[ID Producto]],productos[#All],3,FALSE)</f>
        <v>Abarrotes</v>
      </c>
      <c r="F717" s="10" t="s">
        <v>9</v>
      </c>
      <c r="G717" s="3" t="s">
        <v>463</v>
      </c>
      <c r="H717">
        <v>5</v>
      </c>
      <c r="I717">
        <v>3104</v>
      </c>
      <c r="J717">
        <v>1552</v>
      </c>
    </row>
    <row r="718" spans="1:10" x14ac:dyDescent="0.2">
      <c r="A718" s="3" t="s">
        <v>1177</v>
      </c>
      <c r="B718" s="5">
        <v>45153</v>
      </c>
      <c r="C718" s="3" t="s">
        <v>337</v>
      </c>
      <c r="D718" s="3" t="s">
        <v>1126</v>
      </c>
      <c r="E718" s="3" t="str">
        <f>VLOOKUP(ventas[[#This Row],[ID Producto]],productos[#All],3,FALSE)</f>
        <v>Abarrotes</v>
      </c>
      <c r="F718" s="10" t="s">
        <v>9</v>
      </c>
      <c r="G718" s="3" t="s">
        <v>456</v>
      </c>
      <c r="H718">
        <v>9</v>
      </c>
      <c r="I718">
        <v>3104</v>
      </c>
      <c r="J718">
        <v>27936</v>
      </c>
    </row>
    <row r="719" spans="1:10" x14ac:dyDescent="0.2">
      <c r="A719" s="3" t="s">
        <v>1178</v>
      </c>
      <c r="B719" s="5">
        <v>45037</v>
      </c>
      <c r="C719" s="3" t="s">
        <v>227</v>
      </c>
      <c r="D719" s="3" t="s">
        <v>1126</v>
      </c>
      <c r="E719" s="3" t="str">
        <f>VLOOKUP(ventas[[#This Row],[ID Producto]],productos[#All],3,FALSE)</f>
        <v>Abarrotes</v>
      </c>
      <c r="F719" s="9" t="s">
        <v>15</v>
      </c>
      <c r="G719" s="3" t="s">
        <v>463</v>
      </c>
      <c r="H719">
        <v>9</v>
      </c>
      <c r="I719">
        <v>3104</v>
      </c>
      <c r="J719">
        <v>27936</v>
      </c>
    </row>
    <row r="720" spans="1:10" x14ac:dyDescent="0.2">
      <c r="A720" s="3" t="s">
        <v>1179</v>
      </c>
      <c r="B720" s="5">
        <v>45149</v>
      </c>
      <c r="C720" s="3" t="s">
        <v>355</v>
      </c>
      <c r="D720" s="3" t="s">
        <v>1126</v>
      </c>
      <c r="E720" s="3" t="str">
        <f>VLOOKUP(ventas[[#This Row],[ID Producto]],productos[#All],3,FALSE)</f>
        <v>Abarrotes</v>
      </c>
      <c r="F720" s="9" t="s">
        <v>9</v>
      </c>
      <c r="G720" s="3" t="s">
        <v>463</v>
      </c>
      <c r="H720">
        <v>1</v>
      </c>
      <c r="I720">
        <v>3104</v>
      </c>
      <c r="J720">
        <v>3104</v>
      </c>
    </row>
    <row r="721" spans="1:10" x14ac:dyDescent="0.2">
      <c r="A721" s="3" t="s">
        <v>1180</v>
      </c>
      <c r="B721" s="5">
        <v>45016</v>
      </c>
      <c r="C721" s="3" t="s">
        <v>347</v>
      </c>
      <c r="D721" s="3" t="s">
        <v>1126</v>
      </c>
      <c r="E721" s="3" t="str">
        <f>VLOOKUP(ventas[[#This Row],[ID Producto]],productos[#All],3,FALSE)</f>
        <v>Abarrotes</v>
      </c>
      <c r="F721" s="9" t="s">
        <v>11</v>
      </c>
      <c r="G721" s="3" t="s">
        <v>453</v>
      </c>
      <c r="H721">
        <v>3</v>
      </c>
      <c r="I721">
        <v>3104</v>
      </c>
      <c r="J721">
        <v>9312</v>
      </c>
    </row>
    <row r="722" spans="1:10" x14ac:dyDescent="0.2">
      <c r="A722" s="3" t="s">
        <v>1181</v>
      </c>
      <c r="B722" s="5">
        <v>45240</v>
      </c>
      <c r="C722" s="3" t="s">
        <v>235</v>
      </c>
      <c r="D722" s="3" t="s">
        <v>1182</v>
      </c>
      <c r="E722" s="3" t="str">
        <f>VLOOKUP(ventas[[#This Row],[ID Producto]],productos[#All],3,FALSE)</f>
        <v>Lácteos</v>
      </c>
      <c r="F722" s="10" t="s">
        <v>9</v>
      </c>
      <c r="G722" s="3" t="s">
        <v>456</v>
      </c>
      <c r="H722">
        <v>7</v>
      </c>
      <c r="I722">
        <v>3917</v>
      </c>
      <c r="J722">
        <v>27419</v>
      </c>
    </row>
    <row r="723" spans="1:10" x14ac:dyDescent="0.2">
      <c r="A723" s="3" t="s">
        <v>1183</v>
      </c>
      <c r="B723" s="5">
        <v>45200</v>
      </c>
      <c r="C723" s="3" t="s">
        <v>257</v>
      </c>
      <c r="D723" s="3" t="s">
        <v>1182</v>
      </c>
      <c r="E723" s="3" t="str">
        <f>VLOOKUP(ventas[[#This Row],[ID Producto]],productos[#All],3,FALSE)</f>
        <v>Lácteos</v>
      </c>
      <c r="F723" s="10" t="s">
        <v>9</v>
      </c>
      <c r="G723" s="3" t="s">
        <v>456</v>
      </c>
      <c r="H723">
        <v>1</v>
      </c>
      <c r="I723">
        <v>3917</v>
      </c>
      <c r="J723">
        <v>3917</v>
      </c>
    </row>
    <row r="724" spans="1:10" x14ac:dyDescent="0.2">
      <c r="A724" s="3" t="s">
        <v>1184</v>
      </c>
      <c r="B724" s="5">
        <v>45018</v>
      </c>
      <c r="C724" s="3" t="s">
        <v>203</v>
      </c>
      <c r="D724" s="3" t="s">
        <v>1182</v>
      </c>
      <c r="E724" s="3" t="str">
        <f>VLOOKUP(ventas[[#This Row],[ID Producto]],productos[#All],3,FALSE)</f>
        <v>Lácteos</v>
      </c>
      <c r="F724" s="9" t="s">
        <v>15</v>
      </c>
      <c r="G724" s="3" t="s">
        <v>456</v>
      </c>
      <c r="H724">
        <v>1</v>
      </c>
      <c r="I724">
        <v>3917</v>
      </c>
      <c r="J724">
        <v>3917</v>
      </c>
    </row>
    <row r="725" spans="1:10" x14ac:dyDescent="0.2">
      <c r="A725" s="3" t="s">
        <v>1185</v>
      </c>
      <c r="B725" s="5">
        <v>45253</v>
      </c>
      <c r="C725" s="3" t="s">
        <v>361</v>
      </c>
      <c r="D725" s="3" t="s">
        <v>1182</v>
      </c>
      <c r="E725" s="3" t="str">
        <f>VLOOKUP(ventas[[#This Row],[ID Producto]],productos[#All],3,FALSE)</f>
        <v>Lácteos</v>
      </c>
      <c r="F725" s="9" t="s">
        <v>9</v>
      </c>
      <c r="G725" s="3" t="s">
        <v>463</v>
      </c>
      <c r="H725">
        <v>3</v>
      </c>
      <c r="I725">
        <v>3917</v>
      </c>
      <c r="J725">
        <v>11751</v>
      </c>
    </row>
    <row r="726" spans="1:10" x14ac:dyDescent="0.2">
      <c r="A726" s="3" t="s">
        <v>1186</v>
      </c>
      <c r="B726" s="5">
        <v>45157</v>
      </c>
      <c r="C726" s="3" t="s">
        <v>439</v>
      </c>
      <c r="D726" s="3" t="s">
        <v>1182</v>
      </c>
      <c r="E726" s="3" t="str">
        <f>VLOOKUP(ventas[[#This Row],[ID Producto]],productos[#All],3,FALSE)</f>
        <v>Lácteos</v>
      </c>
      <c r="F726" s="9" t="s">
        <v>11</v>
      </c>
      <c r="G726" s="3" t="s">
        <v>453</v>
      </c>
      <c r="H726">
        <v>3</v>
      </c>
      <c r="I726">
        <v>3917</v>
      </c>
      <c r="J726">
        <v>11751</v>
      </c>
    </row>
    <row r="727" spans="1:10" x14ac:dyDescent="0.2">
      <c r="A727" s="3" t="s">
        <v>1187</v>
      </c>
      <c r="B727" s="5">
        <v>45057</v>
      </c>
      <c r="C727" s="3" t="s">
        <v>57</v>
      </c>
      <c r="D727" s="3" t="s">
        <v>1182</v>
      </c>
      <c r="E727" s="3" t="str">
        <f>VLOOKUP(ventas[[#This Row],[ID Producto]],productos[#All],3,FALSE)</f>
        <v>Lácteos</v>
      </c>
      <c r="F727" s="10" t="s">
        <v>9</v>
      </c>
      <c r="G727" s="3" t="s">
        <v>453</v>
      </c>
      <c r="H727">
        <v>7</v>
      </c>
      <c r="I727">
        <v>3917</v>
      </c>
      <c r="J727">
        <v>27419</v>
      </c>
    </row>
    <row r="728" spans="1:10" x14ac:dyDescent="0.2">
      <c r="A728" s="3" t="s">
        <v>1188</v>
      </c>
      <c r="B728" s="5">
        <v>45105</v>
      </c>
      <c r="C728" s="3" t="s">
        <v>119</v>
      </c>
      <c r="D728" s="3" t="s">
        <v>1182</v>
      </c>
      <c r="E728" s="3" t="str">
        <f>VLOOKUP(ventas[[#This Row],[ID Producto]],productos[#All],3,FALSE)</f>
        <v>Lácteos</v>
      </c>
      <c r="F728" s="10" t="s">
        <v>9</v>
      </c>
      <c r="G728" s="3" t="s">
        <v>456</v>
      </c>
      <c r="H728">
        <v>4</v>
      </c>
      <c r="I728">
        <v>3917</v>
      </c>
      <c r="J728">
        <v>15668</v>
      </c>
    </row>
    <row r="729" spans="1:10" x14ac:dyDescent="0.2">
      <c r="A729" s="3" t="s">
        <v>1189</v>
      </c>
      <c r="B729" s="5">
        <v>44970</v>
      </c>
      <c r="C729" s="3" t="s">
        <v>121</v>
      </c>
      <c r="D729" s="3" t="s">
        <v>1182</v>
      </c>
      <c r="E729" s="3" t="str">
        <f>VLOOKUP(ventas[[#This Row],[ID Producto]],productos[#All],3,FALSE)</f>
        <v>Lácteos</v>
      </c>
      <c r="F729" s="9" t="s">
        <v>15</v>
      </c>
      <c r="G729" s="3" t="s">
        <v>456</v>
      </c>
      <c r="H729">
        <v>5</v>
      </c>
      <c r="I729">
        <v>3917</v>
      </c>
      <c r="J729">
        <v>19585</v>
      </c>
    </row>
    <row r="730" spans="1:10" x14ac:dyDescent="0.2">
      <c r="A730" s="3" t="s">
        <v>1190</v>
      </c>
      <c r="B730" s="5">
        <v>45159</v>
      </c>
      <c r="C730" s="3" t="s">
        <v>69</v>
      </c>
      <c r="D730" s="3" t="s">
        <v>1182</v>
      </c>
      <c r="E730" s="3" t="str">
        <f>VLOOKUP(ventas[[#This Row],[ID Producto]],productos[#All],3,FALSE)</f>
        <v>Lácteos</v>
      </c>
      <c r="F730" s="9" t="s">
        <v>9</v>
      </c>
      <c r="G730" s="3" t="s">
        <v>456</v>
      </c>
      <c r="H730">
        <v>8</v>
      </c>
      <c r="I730">
        <v>3917</v>
      </c>
      <c r="J730">
        <v>31336</v>
      </c>
    </row>
    <row r="731" spans="1:10" x14ac:dyDescent="0.2">
      <c r="A731" s="3" t="s">
        <v>1191</v>
      </c>
      <c r="B731" s="5">
        <v>45124</v>
      </c>
      <c r="C731" s="3" t="s">
        <v>139</v>
      </c>
      <c r="D731" s="3" t="s">
        <v>1182</v>
      </c>
      <c r="E731" s="3" t="str">
        <f>VLOOKUP(ventas[[#This Row],[ID Producto]],productos[#All],3,FALSE)</f>
        <v>Lácteos</v>
      </c>
      <c r="F731" s="9" t="s">
        <v>11</v>
      </c>
      <c r="G731" s="3" t="s">
        <v>453</v>
      </c>
      <c r="H731">
        <v>1</v>
      </c>
      <c r="I731">
        <v>3917</v>
      </c>
      <c r="J731">
        <v>3917</v>
      </c>
    </row>
    <row r="732" spans="1:10" x14ac:dyDescent="0.2">
      <c r="A732" s="3" t="s">
        <v>1192</v>
      </c>
      <c r="B732" s="5">
        <v>45244</v>
      </c>
      <c r="C732" s="3" t="s">
        <v>345</v>
      </c>
      <c r="D732" s="3" t="s">
        <v>1182</v>
      </c>
      <c r="E732" s="3" t="str">
        <f>VLOOKUP(ventas[[#This Row],[ID Producto]],productos[#All],3,FALSE)</f>
        <v>Lácteos</v>
      </c>
      <c r="F732" s="10" t="s">
        <v>9</v>
      </c>
      <c r="G732" s="3" t="s">
        <v>463</v>
      </c>
      <c r="H732">
        <v>7</v>
      </c>
      <c r="I732">
        <v>3917</v>
      </c>
      <c r="J732">
        <v>27419</v>
      </c>
    </row>
    <row r="733" spans="1:10" x14ac:dyDescent="0.2">
      <c r="A733" s="3" t="s">
        <v>1193</v>
      </c>
      <c r="B733" s="5">
        <v>45113</v>
      </c>
      <c r="C733" s="3" t="s">
        <v>385</v>
      </c>
      <c r="D733" s="3" t="s">
        <v>1182</v>
      </c>
      <c r="E733" s="3" t="str">
        <f>VLOOKUP(ventas[[#This Row],[ID Producto]],productos[#All],3,FALSE)</f>
        <v>Lácteos</v>
      </c>
      <c r="F733" s="10" t="s">
        <v>9</v>
      </c>
      <c r="G733" s="3" t="s">
        <v>463</v>
      </c>
      <c r="H733">
        <v>1</v>
      </c>
      <c r="I733">
        <v>3917</v>
      </c>
      <c r="J733">
        <v>3917</v>
      </c>
    </row>
    <row r="734" spans="1:10" x14ac:dyDescent="0.2">
      <c r="A734" s="3" t="s">
        <v>1194</v>
      </c>
      <c r="B734" s="5">
        <v>45086</v>
      </c>
      <c r="C734" s="3" t="s">
        <v>421</v>
      </c>
      <c r="D734" s="3" t="s">
        <v>1182</v>
      </c>
      <c r="E734" s="3" t="str">
        <f>VLOOKUP(ventas[[#This Row],[ID Producto]],productos[#All],3,FALSE)</f>
        <v>Lácteos</v>
      </c>
      <c r="F734" s="9" t="s">
        <v>15</v>
      </c>
      <c r="G734" s="3" t="s">
        <v>463</v>
      </c>
      <c r="H734">
        <v>1</v>
      </c>
      <c r="I734">
        <v>3917</v>
      </c>
      <c r="J734">
        <v>3917</v>
      </c>
    </row>
    <row r="735" spans="1:10" x14ac:dyDescent="0.2">
      <c r="A735" s="3" t="s">
        <v>1195</v>
      </c>
      <c r="B735" s="5">
        <v>45124</v>
      </c>
      <c r="C735" s="3" t="s">
        <v>105</v>
      </c>
      <c r="D735" s="3" t="s">
        <v>1182</v>
      </c>
      <c r="E735" s="3" t="str">
        <f>VLOOKUP(ventas[[#This Row],[ID Producto]],productos[#All],3,FALSE)</f>
        <v>Lácteos</v>
      </c>
      <c r="F735" s="9" t="s">
        <v>9</v>
      </c>
      <c r="G735" s="3" t="s">
        <v>456</v>
      </c>
      <c r="H735">
        <v>4</v>
      </c>
      <c r="I735">
        <v>3917</v>
      </c>
      <c r="J735">
        <v>15668</v>
      </c>
    </row>
    <row r="736" spans="1:10" x14ac:dyDescent="0.2">
      <c r="A736" s="3" t="s">
        <v>1196</v>
      </c>
      <c r="B736" s="5">
        <v>44963</v>
      </c>
      <c r="C736" s="3" t="s">
        <v>141</v>
      </c>
      <c r="D736" s="3" t="s">
        <v>1182</v>
      </c>
      <c r="E736" s="3" t="str">
        <f>VLOOKUP(ventas[[#This Row],[ID Producto]],productos[#All],3,FALSE)</f>
        <v>Lácteos</v>
      </c>
      <c r="F736" s="9" t="s">
        <v>11</v>
      </c>
      <c r="G736" s="3" t="s">
        <v>453</v>
      </c>
      <c r="H736">
        <v>6</v>
      </c>
      <c r="I736">
        <v>3917</v>
      </c>
      <c r="J736">
        <v>23502</v>
      </c>
    </row>
    <row r="737" spans="1:10" x14ac:dyDescent="0.2">
      <c r="A737" s="3" t="s">
        <v>1197</v>
      </c>
      <c r="B737" s="5">
        <v>45054</v>
      </c>
      <c r="C737" s="3" t="s">
        <v>391</v>
      </c>
      <c r="D737" s="3" t="s">
        <v>1182</v>
      </c>
      <c r="E737" s="3" t="str">
        <f>VLOOKUP(ventas[[#This Row],[ID Producto]],productos[#All],3,FALSE)</f>
        <v>Lácteos</v>
      </c>
      <c r="F737" s="10" t="s">
        <v>9</v>
      </c>
      <c r="G737" s="3" t="s">
        <v>456</v>
      </c>
      <c r="H737">
        <v>9</v>
      </c>
      <c r="I737">
        <v>3917</v>
      </c>
      <c r="J737">
        <v>35253</v>
      </c>
    </row>
    <row r="738" spans="1:10" x14ac:dyDescent="0.2">
      <c r="A738" s="3" t="s">
        <v>1198</v>
      </c>
      <c r="B738" s="5">
        <v>45040</v>
      </c>
      <c r="C738" s="3" t="s">
        <v>275</v>
      </c>
      <c r="D738" s="3" t="s">
        <v>1182</v>
      </c>
      <c r="E738" s="3" t="str">
        <f>VLOOKUP(ventas[[#This Row],[ID Producto]],productos[#All],3,FALSE)</f>
        <v>Lácteos</v>
      </c>
      <c r="F738" s="10" t="s">
        <v>9</v>
      </c>
      <c r="G738" s="3" t="s">
        <v>453</v>
      </c>
      <c r="H738">
        <v>9</v>
      </c>
      <c r="I738">
        <v>3917</v>
      </c>
      <c r="J738">
        <v>35253</v>
      </c>
    </row>
    <row r="739" spans="1:10" x14ac:dyDescent="0.2">
      <c r="A739" s="3" t="s">
        <v>1199</v>
      </c>
      <c r="B739" s="5">
        <v>45199</v>
      </c>
      <c r="C739" s="3" t="s">
        <v>97</v>
      </c>
      <c r="D739" s="3" t="s">
        <v>1182</v>
      </c>
      <c r="E739" s="3" t="str">
        <f>VLOOKUP(ventas[[#This Row],[ID Producto]],productos[#All],3,FALSE)</f>
        <v>Lácteos</v>
      </c>
      <c r="F739" s="9" t="s">
        <v>15</v>
      </c>
      <c r="G739" s="3" t="s">
        <v>453</v>
      </c>
      <c r="H739">
        <v>9</v>
      </c>
      <c r="I739">
        <v>3917</v>
      </c>
      <c r="J739">
        <v>35253</v>
      </c>
    </row>
    <row r="740" spans="1:10" x14ac:dyDescent="0.2">
      <c r="A740" s="3" t="s">
        <v>1200</v>
      </c>
      <c r="B740" s="5">
        <v>45102</v>
      </c>
      <c r="C740" s="3" t="s">
        <v>355</v>
      </c>
      <c r="D740" s="3" t="s">
        <v>1182</v>
      </c>
      <c r="E740" s="3" t="str">
        <f>VLOOKUP(ventas[[#This Row],[ID Producto]],productos[#All],3,FALSE)</f>
        <v>Lácteos</v>
      </c>
      <c r="F740" s="9" t="s">
        <v>9</v>
      </c>
      <c r="G740" s="3" t="s">
        <v>463</v>
      </c>
      <c r="H740">
        <v>8</v>
      </c>
      <c r="I740">
        <v>3917</v>
      </c>
      <c r="J740">
        <v>31336</v>
      </c>
    </row>
    <row r="741" spans="1:10" x14ac:dyDescent="0.2">
      <c r="A741" s="3" t="s">
        <v>1201</v>
      </c>
      <c r="B741" s="5">
        <v>44984</v>
      </c>
      <c r="C741" s="3" t="s">
        <v>71</v>
      </c>
      <c r="D741" s="3" t="s">
        <v>1182</v>
      </c>
      <c r="E741" s="3" t="str">
        <f>VLOOKUP(ventas[[#This Row],[ID Producto]],productos[#All],3,FALSE)</f>
        <v>Lácteos</v>
      </c>
      <c r="F741" s="9" t="s">
        <v>11</v>
      </c>
      <c r="G741" s="3" t="s">
        <v>456</v>
      </c>
      <c r="H741">
        <v>9</v>
      </c>
      <c r="I741">
        <v>3917</v>
      </c>
      <c r="J741">
        <v>35253</v>
      </c>
    </row>
    <row r="742" spans="1:10" x14ac:dyDescent="0.2">
      <c r="A742" s="3" t="s">
        <v>1202</v>
      </c>
      <c r="B742" s="5">
        <v>44980</v>
      </c>
      <c r="C742" s="3" t="s">
        <v>427</v>
      </c>
      <c r="D742" s="3" t="s">
        <v>1182</v>
      </c>
      <c r="E742" s="3" t="str">
        <f>VLOOKUP(ventas[[#This Row],[ID Producto]],productos[#All],3,FALSE)</f>
        <v>Lácteos</v>
      </c>
      <c r="F742" s="10" t="s">
        <v>9</v>
      </c>
      <c r="G742" s="3" t="s">
        <v>463</v>
      </c>
      <c r="H742">
        <v>2</v>
      </c>
      <c r="I742">
        <v>3917</v>
      </c>
      <c r="J742">
        <v>7834</v>
      </c>
    </row>
    <row r="743" spans="1:10" x14ac:dyDescent="0.2">
      <c r="A743" s="3" t="s">
        <v>1203</v>
      </c>
      <c r="B743" s="5">
        <v>45050</v>
      </c>
      <c r="C743" s="3" t="s">
        <v>375</v>
      </c>
      <c r="D743" s="3" t="s">
        <v>1182</v>
      </c>
      <c r="E743" s="3" t="str">
        <f>VLOOKUP(ventas[[#This Row],[ID Producto]],productos[#All],3,FALSE)</f>
        <v>Lácteos</v>
      </c>
      <c r="F743" s="10" t="s">
        <v>9</v>
      </c>
      <c r="G743" s="3" t="s">
        <v>453</v>
      </c>
      <c r="H743">
        <v>4</v>
      </c>
      <c r="I743">
        <v>3917</v>
      </c>
      <c r="J743">
        <v>15668</v>
      </c>
    </row>
    <row r="744" spans="1:10" x14ac:dyDescent="0.2">
      <c r="A744" s="3" t="s">
        <v>1204</v>
      </c>
      <c r="B744" s="5">
        <v>45155</v>
      </c>
      <c r="C744" s="3" t="s">
        <v>159</v>
      </c>
      <c r="D744" s="3" t="s">
        <v>1182</v>
      </c>
      <c r="E744" s="3" t="str">
        <f>VLOOKUP(ventas[[#This Row],[ID Producto]],productos[#All],3,FALSE)</f>
        <v>Lácteos</v>
      </c>
      <c r="F744" s="9" t="s">
        <v>15</v>
      </c>
      <c r="G744" s="3" t="s">
        <v>456</v>
      </c>
      <c r="H744">
        <v>5</v>
      </c>
      <c r="I744">
        <v>3917</v>
      </c>
      <c r="J744">
        <v>19585</v>
      </c>
    </row>
    <row r="745" spans="1:10" x14ac:dyDescent="0.2">
      <c r="A745" s="3" t="s">
        <v>1205</v>
      </c>
      <c r="B745" s="5">
        <v>44984</v>
      </c>
      <c r="C745" s="3" t="s">
        <v>265</v>
      </c>
      <c r="D745" s="3" t="s">
        <v>1182</v>
      </c>
      <c r="E745" s="3" t="str">
        <f>VLOOKUP(ventas[[#This Row],[ID Producto]],productos[#All],3,FALSE)</f>
        <v>Lácteos</v>
      </c>
      <c r="F745" s="9" t="s">
        <v>9</v>
      </c>
      <c r="G745" s="3" t="s">
        <v>453</v>
      </c>
      <c r="H745">
        <v>4</v>
      </c>
      <c r="I745">
        <v>3917</v>
      </c>
      <c r="J745">
        <v>15668</v>
      </c>
    </row>
    <row r="746" spans="1:10" x14ac:dyDescent="0.2">
      <c r="A746" s="3" t="s">
        <v>1206</v>
      </c>
      <c r="B746" s="5">
        <v>45130</v>
      </c>
      <c r="C746" s="3" t="s">
        <v>161</v>
      </c>
      <c r="D746" s="3" t="s">
        <v>1182</v>
      </c>
      <c r="E746" s="3" t="str">
        <f>VLOOKUP(ventas[[#This Row],[ID Producto]],productos[#All],3,FALSE)</f>
        <v>Lácteos</v>
      </c>
      <c r="F746" s="9" t="s">
        <v>11</v>
      </c>
      <c r="G746" s="3" t="s">
        <v>456</v>
      </c>
      <c r="H746">
        <v>9</v>
      </c>
      <c r="I746">
        <v>3917</v>
      </c>
      <c r="J746">
        <v>35253</v>
      </c>
    </row>
    <row r="747" spans="1:10" x14ac:dyDescent="0.2">
      <c r="A747" s="3" t="s">
        <v>1207</v>
      </c>
      <c r="B747" s="5">
        <v>45026</v>
      </c>
      <c r="C747" s="3" t="s">
        <v>225</v>
      </c>
      <c r="D747" s="3" t="s">
        <v>1182</v>
      </c>
      <c r="E747" s="3" t="str">
        <f>VLOOKUP(ventas[[#This Row],[ID Producto]],productos[#All],3,FALSE)</f>
        <v>Lácteos</v>
      </c>
      <c r="F747" s="10" t="s">
        <v>9</v>
      </c>
      <c r="G747" s="3" t="s">
        <v>453</v>
      </c>
      <c r="H747">
        <v>1</v>
      </c>
      <c r="I747">
        <v>3917</v>
      </c>
      <c r="J747">
        <v>3917</v>
      </c>
    </row>
    <row r="748" spans="1:10" x14ac:dyDescent="0.2">
      <c r="A748" s="3" t="s">
        <v>1208</v>
      </c>
      <c r="B748" s="5">
        <v>45179</v>
      </c>
      <c r="C748" s="3" t="s">
        <v>365</v>
      </c>
      <c r="D748" s="3" t="s">
        <v>1182</v>
      </c>
      <c r="E748" s="3" t="str">
        <f>VLOOKUP(ventas[[#This Row],[ID Producto]],productos[#All],3,FALSE)</f>
        <v>Lácteos</v>
      </c>
      <c r="F748" s="10" t="s">
        <v>9</v>
      </c>
      <c r="G748" s="3" t="s">
        <v>456</v>
      </c>
      <c r="H748">
        <v>6</v>
      </c>
      <c r="I748">
        <v>3917</v>
      </c>
      <c r="J748">
        <v>23502</v>
      </c>
    </row>
    <row r="749" spans="1:10" x14ac:dyDescent="0.2">
      <c r="A749" s="3" t="s">
        <v>1209</v>
      </c>
      <c r="B749" s="5">
        <v>45240</v>
      </c>
      <c r="C749" s="3" t="s">
        <v>125</v>
      </c>
      <c r="D749" s="3" t="s">
        <v>1182</v>
      </c>
      <c r="E749" s="3" t="str">
        <f>VLOOKUP(ventas[[#This Row],[ID Producto]],productos[#All],3,FALSE)</f>
        <v>Lácteos</v>
      </c>
      <c r="F749" s="9" t="s">
        <v>15</v>
      </c>
      <c r="G749" s="3" t="s">
        <v>453</v>
      </c>
      <c r="H749">
        <v>7</v>
      </c>
      <c r="I749">
        <v>3917</v>
      </c>
      <c r="J749">
        <v>27419</v>
      </c>
    </row>
    <row r="750" spans="1:10" x14ac:dyDescent="0.2">
      <c r="A750" s="3" t="s">
        <v>1210</v>
      </c>
      <c r="B750" s="5">
        <v>45199</v>
      </c>
      <c r="C750" s="3" t="s">
        <v>171</v>
      </c>
      <c r="D750" s="3" t="s">
        <v>1182</v>
      </c>
      <c r="E750" s="3" t="str">
        <f>VLOOKUP(ventas[[#This Row],[ID Producto]],productos[#All],3,FALSE)</f>
        <v>Lácteos</v>
      </c>
      <c r="F750" s="9" t="s">
        <v>9</v>
      </c>
      <c r="G750" s="3" t="s">
        <v>456</v>
      </c>
      <c r="H750">
        <v>9</v>
      </c>
      <c r="I750">
        <v>3917</v>
      </c>
      <c r="J750">
        <v>35253</v>
      </c>
    </row>
    <row r="751" spans="1:10" x14ac:dyDescent="0.2">
      <c r="A751" s="3" t="s">
        <v>1211</v>
      </c>
      <c r="B751" s="5">
        <v>45091</v>
      </c>
      <c r="C751" s="3" t="s">
        <v>173</v>
      </c>
      <c r="D751" s="3" t="s">
        <v>1182</v>
      </c>
      <c r="E751" s="3" t="str">
        <f>VLOOKUP(ventas[[#This Row],[ID Producto]],productos[#All],3,FALSE)</f>
        <v>Lácteos</v>
      </c>
      <c r="F751" s="9" t="s">
        <v>11</v>
      </c>
      <c r="G751" s="3" t="s">
        <v>453</v>
      </c>
      <c r="H751">
        <v>6</v>
      </c>
      <c r="I751">
        <v>3917</v>
      </c>
      <c r="J751">
        <v>23502</v>
      </c>
    </row>
    <row r="752" spans="1:10" x14ac:dyDescent="0.2">
      <c r="A752" s="3" t="s">
        <v>1212</v>
      </c>
      <c r="B752" s="5">
        <v>45193</v>
      </c>
      <c r="C752" s="3" t="s">
        <v>261</v>
      </c>
      <c r="D752" s="3" t="s">
        <v>1182</v>
      </c>
      <c r="E752" s="3" t="str">
        <f>VLOOKUP(ventas[[#This Row],[ID Producto]],productos[#All],3,FALSE)</f>
        <v>Lácteos</v>
      </c>
      <c r="F752" s="10" t="s">
        <v>9</v>
      </c>
      <c r="G752" s="3" t="s">
        <v>463</v>
      </c>
      <c r="H752">
        <v>9</v>
      </c>
      <c r="I752">
        <v>3917</v>
      </c>
      <c r="J752">
        <v>35253</v>
      </c>
    </row>
    <row r="753" spans="1:10" x14ac:dyDescent="0.2">
      <c r="A753" s="3" t="s">
        <v>1213</v>
      </c>
      <c r="B753" s="5">
        <v>45031</v>
      </c>
      <c r="C753" s="3" t="s">
        <v>125</v>
      </c>
      <c r="D753" s="3" t="s">
        <v>1182</v>
      </c>
      <c r="E753" s="3" t="str">
        <f>VLOOKUP(ventas[[#This Row],[ID Producto]],productos[#All],3,FALSE)</f>
        <v>Lácteos</v>
      </c>
      <c r="F753" s="10" t="s">
        <v>9</v>
      </c>
      <c r="G753" s="3" t="s">
        <v>453</v>
      </c>
      <c r="H753">
        <v>8</v>
      </c>
      <c r="I753">
        <v>3917</v>
      </c>
      <c r="J753">
        <v>31336</v>
      </c>
    </row>
    <row r="754" spans="1:10" x14ac:dyDescent="0.2">
      <c r="A754" s="3" t="s">
        <v>1214</v>
      </c>
      <c r="B754" s="5">
        <v>45123</v>
      </c>
      <c r="C754" s="3" t="s">
        <v>357</v>
      </c>
      <c r="D754" s="3" t="s">
        <v>1182</v>
      </c>
      <c r="E754" s="3" t="str">
        <f>VLOOKUP(ventas[[#This Row],[ID Producto]],productos[#All],3,FALSE)</f>
        <v>Lácteos</v>
      </c>
      <c r="F754" s="9" t="s">
        <v>15</v>
      </c>
      <c r="G754" s="3" t="s">
        <v>453</v>
      </c>
      <c r="H754">
        <v>1</v>
      </c>
      <c r="I754">
        <v>3917</v>
      </c>
      <c r="J754">
        <v>3917</v>
      </c>
    </row>
    <row r="755" spans="1:10" x14ac:dyDescent="0.2">
      <c r="A755" s="3" t="s">
        <v>1215</v>
      </c>
      <c r="B755" s="5">
        <v>44965</v>
      </c>
      <c r="C755" s="3" t="s">
        <v>183</v>
      </c>
      <c r="D755" s="3" t="s">
        <v>1182</v>
      </c>
      <c r="E755" s="3" t="str">
        <f>VLOOKUP(ventas[[#This Row],[ID Producto]],productos[#All],3,FALSE)</f>
        <v>Lácteos</v>
      </c>
      <c r="F755" s="9" t="s">
        <v>9</v>
      </c>
      <c r="G755" s="3" t="s">
        <v>456</v>
      </c>
      <c r="H755">
        <v>8</v>
      </c>
      <c r="I755">
        <v>3917</v>
      </c>
      <c r="J755">
        <v>31336</v>
      </c>
    </row>
    <row r="756" spans="1:10" x14ac:dyDescent="0.2">
      <c r="A756" s="3" t="s">
        <v>1216</v>
      </c>
      <c r="B756" s="5">
        <v>45133</v>
      </c>
      <c r="C756" s="3" t="s">
        <v>375</v>
      </c>
      <c r="D756" s="3" t="s">
        <v>1182</v>
      </c>
      <c r="E756" s="3" t="str">
        <f>VLOOKUP(ventas[[#This Row],[ID Producto]],productos[#All],3,FALSE)</f>
        <v>Lácteos</v>
      </c>
      <c r="F756" s="9" t="s">
        <v>11</v>
      </c>
      <c r="G756" s="3" t="s">
        <v>463</v>
      </c>
      <c r="H756">
        <v>1</v>
      </c>
      <c r="I756">
        <v>3917</v>
      </c>
      <c r="J756">
        <v>3917</v>
      </c>
    </row>
    <row r="757" spans="1:10" x14ac:dyDescent="0.2">
      <c r="A757" s="3" t="s">
        <v>1217</v>
      </c>
      <c r="B757" s="5">
        <v>45118</v>
      </c>
      <c r="C757" s="3" t="s">
        <v>113</v>
      </c>
      <c r="D757" s="3" t="s">
        <v>1182</v>
      </c>
      <c r="E757" s="3" t="str">
        <f>VLOOKUP(ventas[[#This Row],[ID Producto]],productos[#All],3,FALSE)</f>
        <v>Lácteos</v>
      </c>
      <c r="F757" s="10" t="s">
        <v>9</v>
      </c>
      <c r="G757" s="3" t="s">
        <v>463</v>
      </c>
      <c r="H757">
        <v>7</v>
      </c>
      <c r="I757">
        <v>3917</v>
      </c>
      <c r="J757">
        <v>27419</v>
      </c>
    </row>
    <row r="758" spans="1:10" x14ac:dyDescent="0.2">
      <c r="A758" s="3" t="s">
        <v>1218</v>
      </c>
      <c r="B758" s="5">
        <v>45032</v>
      </c>
      <c r="C758" s="3" t="s">
        <v>105</v>
      </c>
      <c r="D758" s="3" t="s">
        <v>1182</v>
      </c>
      <c r="E758" s="3" t="str">
        <f>VLOOKUP(ventas[[#This Row],[ID Producto]],productos[#All],3,FALSE)</f>
        <v>Lácteos</v>
      </c>
      <c r="F758" s="10" t="s">
        <v>9</v>
      </c>
      <c r="G758" s="3" t="s">
        <v>453</v>
      </c>
      <c r="H758">
        <v>4</v>
      </c>
      <c r="I758">
        <v>3917</v>
      </c>
      <c r="J758">
        <v>15668</v>
      </c>
    </row>
    <row r="759" spans="1:10" x14ac:dyDescent="0.2">
      <c r="A759" s="3" t="s">
        <v>1219</v>
      </c>
      <c r="B759" s="5">
        <v>45161</v>
      </c>
      <c r="C759" s="3" t="s">
        <v>141</v>
      </c>
      <c r="D759" s="3" t="s">
        <v>1182</v>
      </c>
      <c r="E759" s="3" t="str">
        <f>VLOOKUP(ventas[[#This Row],[ID Producto]],productos[#All],3,FALSE)</f>
        <v>Lácteos</v>
      </c>
      <c r="F759" s="9" t="s">
        <v>15</v>
      </c>
      <c r="G759" s="3" t="s">
        <v>456</v>
      </c>
      <c r="H759">
        <v>5</v>
      </c>
      <c r="I759">
        <v>3917</v>
      </c>
      <c r="J759">
        <v>19585</v>
      </c>
    </row>
    <row r="760" spans="1:10" x14ac:dyDescent="0.2">
      <c r="A760" s="3" t="s">
        <v>1220</v>
      </c>
      <c r="B760" s="5">
        <v>45021</v>
      </c>
      <c r="C760" s="3" t="s">
        <v>309</v>
      </c>
      <c r="D760" s="3" t="s">
        <v>1182</v>
      </c>
      <c r="E760" s="3" t="str">
        <f>VLOOKUP(ventas[[#This Row],[ID Producto]],productos[#All],3,FALSE)</f>
        <v>Lácteos</v>
      </c>
      <c r="F760" s="9" t="s">
        <v>9</v>
      </c>
      <c r="G760" s="3" t="s">
        <v>453</v>
      </c>
      <c r="H760">
        <v>6</v>
      </c>
      <c r="I760">
        <v>3917</v>
      </c>
      <c r="J760">
        <v>23502</v>
      </c>
    </row>
    <row r="761" spans="1:10" x14ac:dyDescent="0.2">
      <c r="A761" s="3" t="s">
        <v>1221</v>
      </c>
      <c r="B761" s="5">
        <v>45018</v>
      </c>
      <c r="C761" s="3" t="s">
        <v>191</v>
      </c>
      <c r="D761" s="3" t="s">
        <v>1182</v>
      </c>
      <c r="E761" s="3" t="str">
        <f>VLOOKUP(ventas[[#This Row],[ID Producto]],productos[#All],3,FALSE)</f>
        <v>Lácteos</v>
      </c>
      <c r="F761" s="9" t="s">
        <v>11</v>
      </c>
      <c r="G761" s="3" t="s">
        <v>453</v>
      </c>
      <c r="H761">
        <v>2</v>
      </c>
      <c r="I761">
        <v>3917</v>
      </c>
      <c r="J761">
        <v>7834</v>
      </c>
    </row>
    <row r="762" spans="1:10" x14ac:dyDescent="0.2">
      <c r="A762" s="3" t="s">
        <v>1222</v>
      </c>
      <c r="B762" s="5">
        <v>45144</v>
      </c>
      <c r="C762" s="3" t="s">
        <v>233</v>
      </c>
      <c r="D762" s="3" t="s">
        <v>1182</v>
      </c>
      <c r="E762" s="3" t="str">
        <f>VLOOKUP(ventas[[#This Row],[ID Producto]],productos[#All],3,FALSE)</f>
        <v>Lácteos</v>
      </c>
      <c r="F762" s="10" t="s">
        <v>9</v>
      </c>
      <c r="G762" s="3" t="s">
        <v>453</v>
      </c>
      <c r="H762">
        <v>4</v>
      </c>
      <c r="I762">
        <v>3917</v>
      </c>
      <c r="J762">
        <v>15668</v>
      </c>
    </row>
    <row r="763" spans="1:10" x14ac:dyDescent="0.2">
      <c r="A763" s="3" t="s">
        <v>1223</v>
      </c>
      <c r="B763" s="5">
        <v>44940</v>
      </c>
      <c r="C763" s="3" t="s">
        <v>111</v>
      </c>
      <c r="D763" s="3" t="s">
        <v>1182</v>
      </c>
      <c r="E763" s="3" t="str">
        <f>VLOOKUP(ventas[[#This Row],[ID Producto]],productos[#All],3,FALSE)</f>
        <v>Lácteos</v>
      </c>
      <c r="F763" s="10" t="s">
        <v>9</v>
      </c>
      <c r="G763" s="3" t="s">
        <v>463</v>
      </c>
      <c r="H763">
        <v>6</v>
      </c>
      <c r="I763">
        <v>3917</v>
      </c>
      <c r="J763">
        <v>23502</v>
      </c>
    </row>
    <row r="764" spans="1:10" x14ac:dyDescent="0.2">
      <c r="A764" s="3" t="s">
        <v>1224</v>
      </c>
      <c r="B764" s="5">
        <v>45238</v>
      </c>
      <c r="C764" s="3" t="s">
        <v>137</v>
      </c>
      <c r="D764" s="3" t="s">
        <v>1182</v>
      </c>
      <c r="E764" s="3" t="str">
        <f>VLOOKUP(ventas[[#This Row],[ID Producto]],productos[#All],3,FALSE)</f>
        <v>Lácteos</v>
      </c>
      <c r="F764" s="9" t="s">
        <v>15</v>
      </c>
      <c r="G764" s="3" t="s">
        <v>453</v>
      </c>
      <c r="H764">
        <v>7</v>
      </c>
      <c r="I764">
        <v>3917</v>
      </c>
      <c r="J764">
        <v>27419</v>
      </c>
    </row>
    <row r="765" spans="1:10" x14ac:dyDescent="0.2">
      <c r="A765" s="3" t="s">
        <v>1225</v>
      </c>
      <c r="B765" s="5">
        <v>45157</v>
      </c>
      <c r="C765" s="3" t="s">
        <v>231</v>
      </c>
      <c r="D765" s="3" t="s">
        <v>1182</v>
      </c>
      <c r="E765" s="3" t="str">
        <f>VLOOKUP(ventas[[#This Row],[ID Producto]],productos[#All],3,FALSE)</f>
        <v>Lácteos</v>
      </c>
      <c r="F765" s="9" t="s">
        <v>9</v>
      </c>
      <c r="G765" s="3" t="s">
        <v>456</v>
      </c>
      <c r="H765">
        <v>1</v>
      </c>
      <c r="I765">
        <v>3917</v>
      </c>
      <c r="J765">
        <v>3917</v>
      </c>
    </row>
    <row r="766" spans="1:10" x14ac:dyDescent="0.2">
      <c r="A766" s="3" t="s">
        <v>1226</v>
      </c>
      <c r="B766" s="5">
        <v>45208</v>
      </c>
      <c r="C766" s="3" t="s">
        <v>255</v>
      </c>
      <c r="D766" s="3" t="s">
        <v>1182</v>
      </c>
      <c r="E766" s="3" t="str">
        <f>VLOOKUP(ventas[[#This Row],[ID Producto]],productos[#All],3,FALSE)</f>
        <v>Lácteos</v>
      </c>
      <c r="F766" s="9" t="s">
        <v>11</v>
      </c>
      <c r="G766" s="3" t="s">
        <v>456</v>
      </c>
      <c r="H766">
        <v>2</v>
      </c>
      <c r="I766">
        <v>3917</v>
      </c>
      <c r="J766">
        <v>7834</v>
      </c>
    </row>
    <row r="767" spans="1:10" x14ac:dyDescent="0.2">
      <c r="A767" s="3" t="s">
        <v>1227</v>
      </c>
      <c r="B767" s="5">
        <v>45155</v>
      </c>
      <c r="C767" s="3" t="s">
        <v>163</v>
      </c>
      <c r="D767" s="3" t="s">
        <v>1182</v>
      </c>
      <c r="E767" s="3" t="str">
        <f>VLOOKUP(ventas[[#This Row],[ID Producto]],productos[#All],3,FALSE)</f>
        <v>Lácteos</v>
      </c>
      <c r="F767" s="10" t="s">
        <v>9</v>
      </c>
      <c r="G767" s="3" t="s">
        <v>463</v>
      </c>
      <c r="H767">
        <v>8</v>
      </c>
      <c r="I767">
        <v>3917</v>
      </c>
      <c r="J767">
        <v>31336</v>
      </c>
    </row>
    <row r="768" spans="1:10" x14ac:dyDescent="0.2">
      <c r="A768" s="3" t="s">
        <v>1228</v>
      </c>
      <c r="B768" s="5">
        <v>45020</v>
      </c>
      <c r="C768" s="3" t="s">
        <v>221</v>
      </c>
      <c r="D768" s="3" t="s">
        <v>1182</v>
      </c>
      <c r="E768" s="3" t="str">
        <f>VLOOKUP(ventas[[#This Row],[ID Producto]],productos[#All],3,FALSE)</f>
        <v>Lácteos</v>
      </c>
      <c r="F768" s="10" t="s">
        <v>9</v>
      </c>
      <c r="G768" s="3" t="s">
        <v>456</v>
      </c>
      <c r="H768">
        <v>7</v>
      </c>
      <c r="I768">
        <v>3917</v>
      </c>
      <c r="J768">
        <v>27419</v>
      </c>
    </row>
    <row r="769" spans="1:10" x14ac:dyDescent="0.2">
      <c r="A769" s="3" t="s">
        <v>1229</v>
      </c>
      <c r="B769" s="5">
        <v>45252</v>
      </c>
      <c r="C769" s="3" t="s">
        <v>393</v>
      </c>
      <c r="D769" s="3" t="s">
        <v>1182</v>
      </c>
      <c r="E769" s="3" t="str">
        <f>VLOOKUP(ventas[[#This Row],[ID Producto]],productos[#All],3,FALSE)</f>
        <v>Lácteos</v>
      </c>
      <c r="F769" s="9" t="s">
        <v>15</v>
      </c>
      <c r="G769" s="3" t="s">
        <v>453</v>
      </c>
      <c r="H769">
        <v>8</v>
      </c>
      <c r="I769">
        <v>3917</v>
      </c>
      <c r="J769">
        <v>31336</v>
      </c>
    </row>
    <row r="770" spans="1:10" x14ac:dyDescent="0.2">
      <c r="A770" s="3" t="s">
        <v>1230</v>
      </c>
      <c r="B770" s="5">
        <v>45246</v>
      </c>
      <c r="C770" s="3" t="s">
        <v>239</v>
      </c>
      <c r="D770" s="3" t="s">
        <v>1182</v>
      </c>
      <c r="E770" s="3" t="str">
        <f>VLOOKUP(ventas[[#This Row],[ID Producto]],productos[#All],3,FALSE)</f>
        <v>Lácteos</v>
      </c>
      <c r="F770" s="9" t="s">
        <v>9</v>
      </c>
      <c r="G770" s="3" t="s">
        <v>453</v>
      </c>
      <c r="H770">
        <v>1</v>
      </c>
      <c r="I770">
        <v>3917</v>
      </c>
      <c r="J770">
        <v>3917</v>
      </c>
    </row>
    <row r="771" spans="1:10" x14ac:dyDescent="0.2">
      <c r="A771" s="3" t="s">
        <v>1231</v>
      </c>
      <c r="B771" s="5">
        <v>45096</v>
      </c>
      <c r="C771" s="3" t="s">
        <v>203</v>
      </c>
      <c r="D771" s="3" t="s">
        <v>1232</v>
      </c>
      <c r="E771" s="3" t="str">
        <f>VLOOKUP(ventas[[#This Row],[ID Producto]],productos[#All],3,FALSE)</f>
        <v>Lácteos</v>
      </c>
      <c r="F771" s="9" t="s">
        <v>11</v>
      </c>
      <c r="G771" s="3" t="s">
        <v>456</v>
      </c>
      <c r="H771">
        <v>9</v>
      </c>
      <c r="I771">
        <v>2349</v>
      </c>
      <c r="J771">
        <v>21141</v>
      </c>
    </row>
    <row r="772" spans="1:10" x14ac:dyDescent="0.2">
      <c r="A772" s="3" t="s">
        <v>1233</v>
      </c>
      <c r="B772" s="5">
        <v>45015</v>
      </c>
      <c r="C772" s="3" t="s">
        <v>75</v>
      </c>
      <c r="D772" s="3" t="s">
        <v>1232</v>
      </c>
      <c r="E772" s="3" t="str">
        <f>VLOOKUP(ventas[[#This Row],[ID Producto]],productos[#All],3,FALSE)</f>
        <v>Lácteos</v>
      </c>
      <c r="F772" s="10" t="s">
        <v>9</v>
      </c>
      <c r="G772" s="3" t="s">
        <v>456</v>
      </c>
      <c r="H772">
        <v>7</v>
      </c>
      <c r="I772">
        <v>2349</v>
      </c>
      <c r="J772">
        <v>16443</v>
      </c>
    </row>
    <row r="773" spans="1:10" x14ac:dyDescent="0.2">
      <c r="A773" s="3" t="s">
        <v>1234</v>
      </c>
      <c r="B773" s="5">
        <v>45186</v>
      </c>
      <c r="C773" s="3" t="s">
        <v>125</v>
      </c>
      <c r="D773" s="3" t="s">
        <v>1232</v>
      </c>
      <c r="E773" s="3" t="str">
        <f>VLOOKUP(ventas[[#This Row],[ID Producto]],productos[#All],3,FALSE)</f>
        <v>Lácteos</v>
      </c>
      <c r="F773" s="10" t="s">
        <v>9</v>
      </c>
      <c r="G773" s="3" t="s">
        <v>463</v>
      </c>
      <c r="H773">
        <v>1</v>
      </c>
      <c r="I773">
        <v>2349</v>
      </c>
      <c r="J773">
        <v>2349</v>
      </c>
    </row>
    <row r="774" spans="1:10" x14ac:dyDescent="0.2">
      <c r="A774" s="3" t="s">
        <v>1235</v>
      </c>
      <c r="B774" s="5">
        <v>44931</v>
      </c>
      <c r="C774" s="3" t="s">
        <v>141</v>
      </c>
      <c r="D774" s="3" t="s">
        <v>1232</v>
      </c>
      <c r="E774" s="3" t="str">
        <f>VLOOKUP(ventas[[#This Row],[ID Producto]],productos[#All],3,FALSE)</f>
        <v>Lácteos</v>
      </c>
      <c r="F774" s="9" t="s">
        <v>15</v>
      </c>
      <c r="G774" s="3" t="s">
        <v>456</v>
      </c>
      <c r="H774">
        <v>6</v>
      </c>
      <c r="I774">
        <v>2349</v>
      </c>
      <c r="J774">
        <v>14094</v>
      </c>
    </row>
    <row r="775" spans="1:10" x14ac:dyDescent="0.2">
      <c r="A775" s="3" t="s">
        <v>1236</v>
      </c>
      <c r="B775" s="5">
        <v>45274</v>
      </c>
      <c r="C775" s="3" t="s">
        <v>109</v>
      </c>
      <c r="D775" s="3" t="s">
        <v>1232</v>
      </c>
      <c r="E775" s="3" t="str">
        <f>VLOOKUP(ventas[[#This Row],[ID Producto]],productos[#All],3,FALSE)</f>
        <v>Lácteos</v>
      </c>
      <c r="F775" s="9" t="s">
        <v>9</v>
      </c>
      <c r="G775" s="3" t="s">
        <v>456</v>
      </c>
      <c r="H775">
        <v>9</v>
      </c>
      <c r="I775">
        <v>2349</v>
      </c>
      <c r="J775">
        <v>21141</v>
      </c>
    </row>
    <row r="776" spans="1:10" x14ac:dyDescent="0.2">
      <c r="A776" s="3" t="s">
        <v>1237</v>
      </c>
      <c r="B776" s="5">
        <v>45116</v>
      </c>
      <c r="C776" s="3" t="s">
        <v>321</v>
      </c>
      <c r="D776" s="3" t="s">
        <v>1232</v>
      </c>
      <c r="E776" s="3" t="str">
        <f>VLOOKUP(ventas[[#This Row],[ID Producto]],productos[#All],3,FALSE)</f>
        <v>Lácteos</v>
      </c>
      <c r="F776" s="9" t="s">
        <v>11</v>
      </c>
      <c r="G776" s="3" t="s">
        <v>456</v>
      </c>
      <c r="H776">
        <v>4</v>
      </c>
      <c r="I776">
        <v>2349</v>
      </c>
      <c r="J776">
        <v>9396</v>
      </c>
    </row>
    <row r="777" spans="1:10" x14ac:dyDescent="0.2">
      <c r="A777" s="3" t="s">
        <v>1238</v>
      </c>
      <c r="B777" s="5">
        <v>45233</v>
      </c>
      <c r="C777" s="3" t="s">
        <v>375</v>
      </c>
      <c r="D777" s="3" t="s">
        <v>1232</v>
      </c>
      <c r="E777" s="3" t="str">
        <f>VLOOKUP(ventas[[#This Row],[ID Producto]],productos[#All],3,FALSE)</f>
        <v>Lácteos</v>
      </c>
      <c r="F777" s="10" t="s">
        <v>9</v>
      </c>
      <c r="G777" s="3" t="s">
        <v>463</v>
      </c>
      <c r="H777">
        <v>2</v>
      </c>
      <c r="I777">
        <v>2349</v>
      </c>
      <c r="J777">
        <v>4698</v>
      </c>
    </row>
    <row r="778" spans="1:10" x14ac:dyDescent="0.2">
      <c r="A778" s="3" t="s">
        <v>1239</v>
      </c>
      <c r="B778" s="5">
        <v>45078</v>
      </c>
      <c r="C778" s="3" t="s">
        <v>47</v>
      </c>
      <c r="D778" s="3" t="s">
        <v>1232</v>
      </c>
      <c r="E778" s="3" t="str">
        <f>VLOOKUP(ventas[[#This Row],[ID Producto]],productos[#All],3,FALSE)</f>
        <v>Lácteos</v>
      </c>
      <c r="F778" s="10" t="s">
        <v>9</v>
      </c>
      <c r="G778" s="3" t="s">
        <v>453</v>
      </c>
      <c r="H778">
        <v>6</v>
      </c>
      <c r="I778">
        <v>2349</v>
      </c>
      <c r="J778">
        <v>14094</v>
      </c>
    </row>
    <row r="779" spans="1:10" x14ac:dyDescent="0.2">
      <c r="A779" s="3" t="s">
        <v>1240</v>
      </c>
      <c r="B779" s="5">
        <v>45050</v>
      </c>
      <c r="C779" s="3" t="s">
        <v>275</v>
      </c>
      <c r="D779" s="3" t="s">
        <v>1232</v>
      </c>
      <c r="E779" s="3" t="str">
        <f>VLOOKUP(ventas[[#This Row],[ID Producto]],productos[#All],3,FALSE)</f>
        <v>Lácteos</v>
      </c>
      <c r="F779" s="9" t="s">
        <v>15</v>
      </c>
      <c r="G779" s="3" t="s">
        <v>453</v>
      </c>
      <c r="H779">
        <v>3</v>
      </c>
      <c r="I779">
        <v>2349</v>
      </c>
      <c r="J779">
        <v>7047</v>
      </c>
    </row>
    <row r="780" spans="1:10" x14ac:dyDescent="0.2">
      <c r="A780" s="3" t="s">
        <v>1241</v>
      </c>
      <c r="B780" s="5">
        <v>45278</v>
      </c>
      <c r="C780" s="3" t="s">
        <v>173</v>
      </c>
      <c r="D780" s="3" t="s">
        <v>1232</v>
      </c>
      <c r="E780" s="3" t="str">
        <f>VLOOKUP(ventas[[#This Row],[ID Producto]],productos[#All],3,FALSE)</f>
        <v>Lácteos</v>
      </c>
      <c r="F780" s="9" t="s">
        <v>9</v>
      </c>
      <c r="G780" s="3" t="s">
        <v>453</v>
      </c>
      <c r="H780">
        <v>3</v>
      </c>
      <c r="I780">
        <v>2349</v>
      </c>
      <c r="J780">
        <v>7047</v>
      </c>
    </row>
    <row r="781" spans="1:10" x14ac:dyDescent="0.2">
      <c r="A781" s="3" t="s">
        <v>1242</v>
      </c>
      <c r="B781" s="5">
        <v>44986</v>
      </c>
      <c r="C781" s="3" t="s">
        <v>335</v>
      </c>
      <c r="D781" s="3" t="s">
        <v>1232</v>
      </c>
      <c r="E781" s="3" t="str">
        <f>VLOOKUP(ventas[[#This Row],[ID Producto]],productos[#All],3,FALSE)</f>
        <v>Lácteos</v>
      </c>
      <c r="F781" s="9" t="s">
        <v>11</v>
      </c>
      <c r="G781" s="3" t="s">
        <v>463</v>
      </c>
      <c r="H781">
        <v>1</v>
      </c>
      <c r="I781">
        <v>2349</v>
      </c>
      <c r="J781">
        <v>2349</v>
      </c>
    </row>
    <row r="782" spans="1:10" x14ac:dyDescent="0.2">
      <c r="A782" s="3" t="s">
        <v>1243</v>
      </c>
      <c r="B782" s="5">
        <v>44935</v>
      </c>
      <c r="C782" s="3" t="s">
        <v>397</v>
      </c>
      <c r="D782" s="3" t="s">
        <v>1232</v>
      </c>
      <c r="E782" s="3" t="str">
        <f>VLOOKUP(ventas[[#This Row],[ID Producto]],productos[#All],3,FALSE)</f>
        <v>Lácteos</v>
      </c>
      <c r="F782" s="10" t="s">
        <v>9</v>
      </c>
      <c r="G782" s="3" t="s">
        <v>463</v>
      </c>
      <c r="H782">
        <v>7</v>
      </c>
      <c r="I782">
        <v>2349</v>
      </c>
      <c r="J782">
        <v>16443</v>
      </c>
    </row>
    <row r="783" spans="1:10" x14ac:dyDescent="0.2">
      <c r="A783" s="3" t="s">
        <v>1244</v>
      </c>
      <c r="B783" s="5">
        <v>45042</v>
      </c>
      <c r="C783" s="3" t="s">
        <v>157</v>
      </c>
      <c r="D783" s="3" t="s">
        <v>1232</v>
      </c>
      <c r="E783" s="3" t="str">
        <f>VLOOKUP(ventas[[#This Row],[ID Producto]],productos[#All],3,FALSE)</f>
        <v>Lácteos</v>
      </c>
      <c r="F783" s="10" t="s">
        <v>9</v>
      </c>
      <c r="G783" s="3" t="s">
        <v>453</v>
      </c>
      <c r="H783">
        <v>4</v>
      </c>
      <c r="I783">
        <v>2349</v>
      </c>
      <c r="J783">
        <v>9396</v>
      </c>
    </row>
    <row r="784" spans="1:10" x14ac:dyDescent="0.2">
      <c r="A784" s="3" t="s">
        <v>1245</v>
      </c>
      <c r="B784" s="5">
        <v>45030</v>
      </c>
      <c r="C784" s="3" t="s">
        <v>111</v>
      </c>
      <c r="D784" s="3" t="s">
        <v>1232</v>
      </c>
      <c r="E784" s="3" t="str">
        <f>VLOOKUP(ventas[[#This Row],[ID Producto]],productos[#All],3,FALSE)</f>
        <v>Lácteos</v>
      </c>
      <c r="F784" s="9" t="s">
        <v>15</v>
      </c>
      <c r="G784" s="3" t="s">
        <v>456</v>
      </c>
      <c r="H784">
        <v>9</v>
      </c>
      <c r="I784">
        <v>2349</v>
      </c>
      <c r="J784">
        <v>21141</v>
      </c>
    </row>
    <row r="785" spans="1:10" x14ac:dyDescent="0.2">
      <c r="A785" s="3" t="s">
        <v>1246</v>
      </c>
      <c r="B785" s="5">
        <v>45243</v>
      </c>
      <c r="C785" s="3" t="s">
        <v>195</v>
      </c>
      <c r="D785" s="3" t="s">
        <v>1232</v>
      </c>
      <c r="E785" s="3" t="str">
        <f>VLOOKUP(ventas[[#This Row],[ID Producto]],productos[#All],3,FALSE)</f>
        <v>Lácteos</v>
      </c>
      <c r="F785" s="9" t="s">
        <v>9</v>
      </c>
      <c r="G785" s="3" t="s">
        <v>453</v>
      </c>
      <c r="H785">
        <v>9</v>
      </c>
      <c r="I785">
        <v>2349</v>
      </c>
      <c r="J785">
        <v>21141</v>
      </c>
    </row>
    <row r="786" spans="1:10" x14ac:dyDescent="0.2">
      <c r="A786" s="3" t="s">
        <v>1247</v>
      </c>
      <c r="B786" s="5">
        <v>45228</v>
      </c>
      <c r="C786" s="3" t="s">
        <v>69</v>
      </c>
      <c r="D786" s="3" t="s">
        <v>1232</v>
      </c>
      <c r="E786" s="3" t="str">
        <f>VLOOKUP(ventas[[#This Row],[ID Producto]],productos[#All],3,FALSE)</f>
        <v>Lácteos</v>
      </c>
      <c r="F786" s="9" t="s">
        <v>11</v>
      </c>
      <c r="G786" s="3" t="s">
        <v>453</v>
      </c>
      <c r="H786">
        <v>9</v>
      </c>
      <c r="I786">
        <v>2349</v>
      </c>
      <c r="J786">
        <v>21141</v>
      </c>
    </row>
    <row r="787" spans="1:10" x14ac:dyDescent="0.2">
      <c r="A787" s="3" t="s">
        <v>1248</v>
      </c>
      <c r="B787" s="5">
        <v>44980</v>
      </c>
      <c r="C787" s="3" t="s">
        <v>95</v>
      </c>
      <c r="D787" s="3" t="s">
        <v>1232</v>
      </c>
      <c r="E787" s="3" t="str">
        <f>VLOOKUP(ventas[[#This Row],[ID Producto]],productos[#All],3,FALSE)</f>
        <v>Lácteos</v>
      </c>
      <c r="F787" s="10" t="s">
        <v>9</v>
      </c>
      <c r="G787" s="3" t="s">
        <v>463</v>
      </c>
      <c r="H787">
        <v>2</v>
      </c>
      <c r="I787">
        <v>2349</v>
      </c>
      <c r="J787">
        <v>4698</v>
      </c>
    </row>
    <row r="788" spans="1:10" x14ac:dyDescent="0.2">
      <c r="A788" s="3" t="s">
        <v>1249</v>
      </c>
      <c r="B788" s="5">
        <v>45239</v>
      </c>
      <c r="C788" s="3" t="s">
        <v>303</v>
      </c>
      <c r="D788" s="3" t="s">
        <v>1232</v>
      </c>
      <c r="E788" s="3" t="str">
        <f>VLOOKUP(ventas[[#This Row],[ID Producto]],productos[#All],3,FALSE)</f>
        <v>Lácteos</v>
      </c>
      <c r="F788" s="10" t="s">
        <v>9</v>
      </c>
      <c r="G788" s="3" t="s">
        <v>456</v>
      </c>
      <c r="H788">
        <v>2</v>
      </c>
      <c r="I788">
        <v>2349</v>
      </c>
      <c r="J788">
        <v>4698</v>
      </c>
    </row>
    <row r="789" spans="1:10" x14ac:dyDescent="0.2">
      <c r="A789" s="3" t="s">
        <v>1250</v>
      </c>
      <c r="B789" s="5">
        <v>45268</v>
      </c>
      <c r="C789" s="3" t="s">
        <v>281</v>
      </c>
      <c r="D789" s="3" t="s">
        <v>1232</v>
      </c>
      <c r="E789" s="3" t="str">
        <f>VLOOKUP(ventas[[#This Row],[ID Producto]],productos[#All],3,FALSE)</f>
        <v>Lácteos</v>
      </c>
      <c r="F789" s="9" t="s">
        <v>15</v>
      </c>
      <c r="G789" s="3" t="s">
        <v>453</v>
      </c>
      <c r="H789">
        <v>6</v>
      </c>
      <c r="I789">
        <v>2349</v>
      </c>
      <c r="J789">
        <v>14094</v>
      </c>
    </row>
    <row r="790" spans="1:10" x14ac:dyDescent="0.2">
      <c r="A790" s="3" t="s">
        <v>1251</v>
      </c>
      <c r="B790" s="5">
        <v>45029</v>
      </c>
      <c r="C790" s="3" t="s">
        <v>433</v>
      </c>
      <c r="D790" s="3" t="s">
        <v>1232</v>
      </c>
      <c r="E790" s="3" t="str">
        <f>VLOOKUP(ventas[[#This Row],[ID Producto]],productos[#All],3,FALSE)</f>
        <v>Lácteos</v>
      </c>
      <c r="F790" s="9" t="s">
        <v>9</v>
      </c>
      <c r="G790" s="3" t="s">
        <v>463</v>
      </c>
      <c r="H790">
        <v>2</v>
      </c>
      <c r="I790">
        <v>2349</v>
      </c>
      <c r="J790">
        <v>4698</v>
      </c>
    </row>
    <row r="791" spans="1:10" x14ac:dyDescent="0.2">
      <c r="A791" s="3" t="s">
        <v>1252</v>
      </c>
      <c r="B791" s="5">
        <v>45244</v>
      </c>
      <c r="C791" s="3" t="s">
        <v>119</v>
      </c>
      <c r="D791" s="3" t="s">
        <v>1232</v>
      </c>
      <c r="E791" s="3" t="str">
        <f>VLOOKUP(ventas[[#This Row],[ID Producto]],productos[#All],3,FALSE)</f>
        <v>Lácteos</v>
      </c>
      <c r="F791" s="9" t="s">
        <v>11</v>
      </c>
      <c r="G791" s="3" t="s">
        <v>456</v>
      </c>
      <c r="H791">
        <v>5</v>
      </c>
      <c r="I791">
        <v>2349</v>
      </c>
      <c r="J791">
        <v>11745</v>
      </c>
    </row>
    <row r="792" spans="1:10" x14ac:dyDescent="0.2">
      <c r="A792" s="3" t="s">
        <v>1253</v>
      </c>
      <c r="B792" s="5">
        <v>45144</v>
      </c>
      <c r="C792" s="3" t="s">
        <v>157</v>
      </c>
      <c r="D792" s="3" t="s">
        <v>1232</v>
      </c>
      <c r="E792" s="3" t="str">
        <f>VLOOKUP(ventas[[#This Row],[ID Producto]],productos[#All],3,FALSE)</f>
        <v>Lácteos</v>
      </c>
      <c r="F792" s="10" t="s">
        <v>9</v>
      </c>
      <c r="G792" s="3" t="s">
        <v>456</v>
      </c>
      <c r="H792">
        <v>6</v>
      </c>
      <c r="I792">
        <v>2349</v>
      </c>
      <c r="J792">
        <v>14094</v>
      </c>
    </row>
    <row r="793" spans="1:10" x14ac:dyDescent="0.2">
      <c r="A793" s="3" t="s">
        <v>1254</v>
      </c>
      <c r="B793" s="5">
        <v>45283</v>
      </c>
      <c r="C793" s="3" t="s">
        <v>345</v>
      </c>
      <c r="D793" s="3" t="s">
        <v>1232</v>
      </c>
      <c r="E793" s="3" t="str">
        <f>VLOOKUP(ventas[[#This Row],[ID Producto]],productos[#All],3,FALSE)</f>
        <v>Lácteos</v>
      </c>
      <c r="F793" s="10" t="s">
        <v>9</v>
      </c>
      <c r="G793" s="3" t="s">
        <v>456</v>
      </c>
      <c r="H793">
        <v>6</v>
      </c>
      <c r="I793">
        <v>2349</v>
      </c>
      <c r="J793">
        <v>14094</v>
      </c>
    </row>
    <row r="794" spans="1:10" x14ac:dyDescent="0.2">
      <c r="A794" s="3" t="s">
        <v>1255</v>
      </c>
      <c r="B794" s="5">
        <v>45176</v>
      </c>
      <c r="C794" s="3" t="s">
        <v>283</v>
      </c>
      <c r="D794" s="3" t="s">
        <v>1232</v>
      </c>
      <c r="E794" s="3" t="str">
        <f>VLOOKUP(ventas[[#This Row],[ID Producto]],productos[#All],3,FALSE)</f>
        <v>Lácteos</v>
      </c>
      <c r="F794" s="9" t="s">
        <v>15</v>
      </c>
      <c r="G794" s="3" t="s">
        <v>456</v>
      </c>
      <c r="H794">
        <v>5</v>
      </c>
      <c r="I794">
        <v>2349</v>
      </c>
      <c r="J794">
        <v>11745</v>
      </c>
    </row>
    <row r="795" spans="1:10" x14ac:dyDescent="0.2">
      <c r="A795" s="3" t="s">
        <v>1256</v>
      </c>
      <c r="B795" s="5">
        <v>45090</v>
      </c>
      <c r="C795" s="3" t="s">
        <v>329</v>
      </c>
      <c r="D795" s="3" t="s">
        <v>1232</v>
      </c>
      <c r="E795" s="3" t="str">
        <f>VLOOKUP(ventas[[#This Row],[ID Producto]],productos[#All],3,FALSE)</f>
        <v>Lácteos</v>
      </c>
      <c r="F795" s="9" t="s">
        <v>9</v>
      </c>
      <c r="G795" s="3" t="s">
        <v>463</v>
      </c>
      <c r="H795">
        <v>1</v>
      </c>
      <c r="I795">
        <v>2349</v>
      </c>
      <c r="J795">
        <v>2349</v>
      </c>
    </row>
    <row r="796" spans="1:10" x14ac:dyDescent="0.2">
      <c r="A796" s="3" t="s">
        <v>1257</v>
      </c>
      <c r="B796" s="5">
        <v>45118</v>
      </c>
      <c r="C796" s="3" t="s">
        <v>79</v>
      </c>
      <c r="D796" s="3" t="s">
        <v>1232</v>
      </c>
      <c r="E796" s="3" t="str">
        <f>VLOOKUP(ventas[[#This Row],[ID Producto]],productos[#All],3,FALSE)</f>
        <v>Lácteos</v>
      </c>
      <c r="F796" s="9" t="s">
        <v>11</v>
      </c>
      <c r="G796" s="3" t="s">
        <v>456</v>
      </c>
      <c r="H796">
        <v>3</v>
      </c>
      <c r="I796">
        <v>2349</v>
      </c>
      <c r="J796">
        <v>7047</v>
      </c>
    </row>
    <row r="797" spans="1:10" x14ac:dyDescent="0.2">
      <c r="A797" s="3" t="s">
        <v>1258</v>
      </c>
      <c r="B797" s="5">
        <v>45025</v>
      </c>
      <c r="C797" s="3" t="s">
        <v>299</v>
      </c>
      <c r="D797" s="3" t="s">
        <v>1232</v>
      </c>
      <c r="E797" s="3" t="str">
        <f>VLOOKUP(ventas[[#This Row],[ID Producto]],productos[#All],3,FALSE)</f>
        <v>Lácteos</v>
      </c>
      <c r="F797" s="10" t="s">
        <v>9</v>
      </c>
      <c r="G797" s="3" t="s">
        <v>456</v>
      </c>
      <c r="H797">
        <v>6</v>
      </c>
      <c r="I797">
        <v>2349</v>
      </c>
      <c r="J797">
        <v>14094</v>
      </c>
    </row>
    <row r="798" spans="1:10" x14ac:dyDescent="0.2">
      <c r="A798" s="3" t="s">
        <v>1259</v>
      </c>
      <c r="B798" s="5">
        <v>45143</v>
      </c>
      <c r="C798" s="3" t="s">
        <v>415</v>
      </c>
      <c r="D798" s="3" t="s">
        <v>1232</v>
      </c>
      <c r="E798" s="3" t="str">
        <f>VLOOKUP(ventas[[#This Row],[ID Producto]],productos[#All],3,FALSE)</f>
        <v>Lácteos</v>
      </c>
      <c r="F798" s="10" t="s">
        <v>9</v>
      </c>
      <c r="G798" s="3" t="s">
        <v>456</v>
      </c>
      <c r="H798">
        <v>9</v>
      </c>
      <c r="I798">
        <v>2349</v>
      </c>
      <c r="J798">
        <v>21141</v>
      </c>
    </row>
    <row r="799" spans="1:10" x14ac:dyDescent="0.2">
      <c r="A799" s="3" t="s">
        <v>1260</v>
      </c>
      <c r="B799" s="5">
        <v>45070</v>
      </c>
      <c r="C799" s="3" t="s">
        <v>399</v>
      </c>
      <c r="D799" s="3" t="s">
        <v>1232</v>
      </c>
      <c r="E799" s="3" t="str">
        <f>VLOOKUP(ventas[[#This Row],[ID Producto]],productos[#All],3,FALSE)</f>
        <v>Lácteos</v>
      </c>
      <c r="F799" s="9" t="s">
        <v>15</v>
      </c>
      <c r="G799" s="3" t="s">
        <v>453</v>
      </c>
      <c r="H799">
        <v>3</v>
      </c>
      <c r="I799">
        <v>2349</v>
      </c>
      <c r="J799">
        <v>7047</v>
      </c>
    </row>
    <row r="800" spans="1:10" x14ac:dyDescent="0.2">
      <c r="A800" s="3" t="s">
        <v>1261</v>
      </c>
      <c r="B800" s="5">
        <v>45149</v>
      </c>
      <c r="C800" s="3" t="s">
        <v>223</v>
      </c>
      <c r="D800" s="3" t="s">
        <v>1232</v>
      </c>
      <c r="E800" s="3" t="str">
        <f>VLOOKUP(ventas[[#This Row],[ID Producto]],productos[#All],3,FALSE)</f>
        <v>Lácteos</v>
      </c>
      <c r="F800" s="9" t="s">
        <v>9</v>
      </c>
      <c r="G800" s="3" t="s">
        <v>453</v>
      </c>
      <c r="H800">
        <v>1</v>
      </c>
      <c r="I800">
        <v>2349</v>
      </c>
      <c r="J800">
        <v>2349</v>
      </c>
    </row>
    <row r="801" spans="1:10" x14ac:dyDescent="0.2">
      <c r="A801" s="3" t="s">
        <v>1262</v>
      </c>
      <c r="B801" s="5">
        <v>45141</v>
      </c>
      <c r="C801" s="3" t="s">
        <v>121</v>
      </c>
      <c r="D801" s="3" t="s">
        <v>1232</v>
      </c>
      <c r="E801" s="3" t="str">
        <f>VLOOKUP(ventas[[#This Row],[ID Producto]],productos[#All],3,FALSE)</f>
        <v>Lácteos</v>
      </c>
      <c r="F801" s="9" t="s">
        <v>11</v>
      </c>
      <c r="G801" s="3" t="s">
        <v>463</v>
      </c>
      <c r="H801">
        <v>9</v>
      </c>
      <c r="I801">
        <v>2349</v>
      </c>
      <c r="J801">
        <v>21141</v>
      </c>
    </row>
    <row r="802" spans="1:10" x14ac:dyDescent="0.2">
      <c r="A802" s="3" t="s">
        <v>1263</v>
      </c>
      <c r="B802" s="5">
        <v>45052</v>
      </c>
      <c r="C802" s="3" t="s">
        <v>403</v>
      </c>
      <c r="D802" s="3" t="s">
        <v>1232</v>
      </c>
      <c r="E802" s="3" t="str">
        <f>VLOOKUP(ventas[[#This Row],[ID Producto]],productos[#All],3,FALSE)</f>
        <v>Lácteos</v>
      </c>
      <c r="F802" s="10" t="s">
        <v>9</v>
      </c>
      <c r="G802" s="3" t="s">
        <v>456</v>
      </c>
      <c r="H802">
        <v>6</v>
      </c>
      <c r="I802">
        <v>2349</v>
      </c>
      <c r="J802">
        <v>14094</v>
      </c>
    </row>
    <row r="803" spans="1:10" x14ac:dyDescent="0.2">
      <c r="A803" s="3" t="s">
        <v>1264</v>
      </c>
      <c r="B803" s="5">
        <v>45139</v>
      </c>
      <c r="C803" s="3" t="s">
        <v>65</v>
      </c>
      <c r="D803" s="3" t="s">
        <v>1232</v>
      </c>
      <c r="E803" s="3" t="str">
        <f>VLOOKUP(ventas[[#This Row],[ID Producto]],productos[#All],3,FALSE)</f>
        <v>Lácteos</v>
      </c>
      <c r="F803" s="10" t="s">
        <v>9</v>
      </c>
      <c r="G803" s="3" t="s">
        <v>456</v>
      </c>
      <c r="H803">
        <v>8</v>
      </c>
      <c r="I803">
        <v>2349</v>
      </c>
      <c r="J803">
        <v>18792</v>
      </c>
    </row>
    <row r="804" spans="1:10" x14ac:dyDescent="0.2">
      <c r="A804" s="3" t="s">
        <v>1265</v>
      </c>
      <c r="B804" s="5">
        <v>45159</v>
      </c>
      <c r="C804" s="3" t="s">
        <v>313</v>
      </c>
      <c r="D804" s="3" t="s">
        <v>1232</v>
      </c>
      <c r="E804" s="3" t="str">
        <f>VLOOKUP(ventas[[#This Row],[ID Producto]],productos[#All],3,FALSE)</f>
        <v>Lácteos</v>
      </c>
      <c r="F804" s="9" t="s">
        <v>15</v>
      </c>
      <c r="G804" s="3" t="s">
        <v>456</v>
      </c>
      <c r="H804">
        <v>6</v>
      </c>
      <c r="I804">
        <v>2349</v>
      </c>
      <c r="J804">
        <v>14094</v>
      </c>
    </row>
    <row r="805" spans="1:10" x14ac:dyDescent="0.2">
      <c r="A805" s="3" t="s">
        <v>1266</v>
      </c>
      <c r="B805" s="5">
        <v>45256</v>
      </c>
      <c r="C805" s="3" t="s">
        <v>441</v>
      </c>
      <c r="D805" s="3" t="s">
        <v>1232</v>
      </c>
      <c r="E805" s="3" t="str">
        <f>VLOOKUP(ventas[[#This Row],[ID Producto]],productos[#All],3,FALSE)</f>
        <v>Lácteos</v>
      </c>
      <c r="F805" s="9" t="s">
        <v>9</v>
      </c>
      <c r="G805" s="3" t="s">
        <v>453</v>
      </c>
      <c r="H805">
        <v>6</v>
      </c>
      <c r="I805">
        <v>2349</v>
      </c>
      <c r="J805">
        <v>14094</v>
      </c>
    </row>
    <row r="806" spans="1:10" x14ac:dyDescent="0.2">
      <c r="A806" s="3" t="s">
        <v>1267</v>
      </c>
      <c r="B806" s="5">
        <v>44936</v>
      </c>
      <c r="C806" s="3" t="s">
        <v>247</v>
      </c>
      <c r="D806" s="3" t="s">
        <v>1232</v>
      </c>
      <c r="E806" s="3" t="str">
        <f>VLOOKUP(ventas[[#This Row],[ID Producto]],productos[#All],3,FALSE)</f>
        <v>Lácteos</v>
      </c>
      <c r="F806" s="9" t="s">
        <v>11</v>
      </c>
      <c r="G806" s="3" t="s">
        <v>453</v>
      </c>
      <c r="H806">
        <v>6</v>
      </c>
      <c r="I806">
        <v>2349</v>
      </c>
      <c r="J806">
        <v>14094</v>
      </c>
    </row>
    <row r="807" spans="1:10" x14ac:dyDescent="0.2">
      <c r="A807" s="3" t="s">
        <v>1268</v>
      </c>
      <c r="B807" s="5">
        <v>45284</v>
      </c>
      <c r="C807" s="3" t="s">
        <v>255</v>
      </c>
      <c r="D807" s="3" t="s">
        <v>1232</v>
      </c>
      <c r="E807" s="3" t="str">
        <f>VLOOKUP(ventas[[#This Row],[ID Producto]],productos[#All],3,FALSE)</f>
        <v>Lácteos</v>
      </c>
      <c r="F807" s="10" t="s">
        <v>9</v>
      </c>
      <c r="G807" s="3" t="s">
        <v>456</v>
      </c>
      <c r="H807">
        <v>2</v>
      </c>
      <c r="I807">
        <v>2349</v>
      </c>
      <c r="J807">
        <v>4698</v>
      </c>
    </row>
    <row r="808" spans="1:10" x14ac:dyDescent="0.2">
      <c r="A808" s="3" t="s">
        <v>1269</v>
      </c>
      <c r="B808" s="5">
        <v>45021</v>
      </c>
      <c r="C808" s="3" t="s">
        <v>343</v>
      </c>
      <c r="D808" s="3" t="s">
        <v>1232</v>
      </c>
      <c r="E808" s="3" t="str">
        <f>VLOOKUP(ventas[[#This Row],[ID Producto]],productos[#All],3,FALSE)</f>
        <v>Lácteos</v>
      </c>
      <c r="F808" s="10" t="s">
        <v>9</v>
      </c>
      <c r="G808" s="3" t="s">
        <v>453</v>
      </c>
      <c r="H808">
        <v>6</v>
      </c>
      <c r="I808">
        <v>2349</v>
      </c>
      <c r="J808">
        <v>14094</v>
      </c>
    </row>
    <row r="809" spans="1:10" x14ac:dyDescent="0.2">
      <c r="A809" s="3" t="s">
        <v>1270</v>
      </c>
      <c r="B809" s="5">
        <v>45044</v>
      </c>
      <c r="C809" s="3" t="s">
        <v>347</v>
      </c>
      <c r="D809" s="3" t="s">
        <v>1232</v>
      </c>
      <c r="E809" s="3" t="str">
        <f>VLOOKUP(ventas[[#This Row],[ID Producto]],productos[#All],3,FALSE)</f>
        <v>Lácteos</v>
      </c>
      <c r="F809" s="9" t="s">
        <v>15</v>
      </c>
      <c r="G809" s="3" t="s">
        <v>453</v>
      </c>
      <c r="H809">
        <v>4</v>
      </c>
      <c r="I809">
        <v>2349</v>
      </c>
      <c r="J809">
        <v>9396</v>
      </c>
    </row>
    <row r="810" spans="1:10" x14ac:dyDescent="0.2">
      <c r="A810" s="3" t="s">
        <v>1271</v>
      </c>
      <c r="B810" s="5">
        <v>45038</v>
      </c>
      <c r="C810" s="3" t="s">
        <v>431</v>
      </c>
      <c r="D810" s="3" t="s">
        <v>1232</v>
      </c>
      <c r="E810" s="3" t="str">
        <f>VLOOKUP(ventas[[#This Row],[ID Producto]],productos[#All],3,FALSE)</f>
        <v>Lácteos</v>
      </c>
      <c r="F810" s="9" t="s">
        <v>9</v>
      </c>
      <c r="G810" s="3" t="s">
        <v>453</v>
      </c>
      <c r="H810">
        <v>3</v>
      </c>
      <c r="I810">
        <v>2349</v>
      </c>
      <c r="J810">
        <v>7047</v>
      </c>
    </row>
    <row r="811" spans="1:10" x14ac:dyDescent="0.2">
      <c r="A811" s="3" t="s">
        <v>1272</v>
      </c>
      <c r="B811" s="5">
        <v>45092</v>
      </c>
      <c r="C811" s="3" t="s">
        <v>329</v>
      </c>
      <c r="D811" s="3" t="s">
        <v>1232</v>
      </c>
      <c r="E811" s="3" t="str">
        <f>VLOOKUP(ventas[[#This Row],[ID Producto]],productos[#All],3,FALSE)</f>
        <v>Lácteos</v>
      </c>
      <c r="F811" s="9" t="s">
        <v>11</v>
      </c>
      <c r="G811" s="3" t="s">
        <v>456</v>
      </c>
      <c r="H811">
        <v>6</v>
      </c>
      <c r="I811">
        <v>2349</v>
      </c>
      <c r="J811">
        <v>14094</v>
      </c>
    </row>
    <row r="812" spans="1:10" x14ac:dyDescent="0.2">
      <c r="A812" s="3" t="s">
        <v>1273</v>
      </c>
      <c r="B812" s="5">
        <v>45173</v>
      </c>
      <c r="C812" s="3" t="s">
        <v>285</v>
      </c>
      <c r="D812" s="3" t="s">
        <v>1232</v>
      </c>
      <c r="E812" s="3" t="str">
        <f>VLOOKUP(ventas[[#This Row],[ID Producto]],productos[#All],3,FALSE)</f>
        <v>Lácteos</v>
      </c>
      <c r="F812" s="10" t="s">
        <v>9</v>
      </c>
      <c r="G812" s="3" t="s">
        <v>463</v>
      </c>
      <c r="H812">
        <v>5</v>
      </c>
      <c r="I812">
        <v>2349</v>
      </c>
      <c r="J812">
        <v>11745</v>
      </c>
    </row>
    <row r="813" spans="1:10" x14ac:dyDescent="0.2">
      <c r="A813" s="3" t="s">
        <v>1274</v>
      </c>
      <c r="B813" s="5">
        <v>45007</v>
      </c>
      <c r="C813" s="3" t="s">
        <v>197</v>
      </c>
      <c r="D813" s="3" t="s">
        <v>1232</v>
      </c>
      <c r="E813" s="3" t="str">
        <f>VLOOKUP(ventas[[#This Row],[ID Producto]],productos[#All],3,FALSE)</f>
        <v>Lácteos</v>
      </c>
      <c r="F813" s="10" t="s">
        <v>9</v>
      </c>
      <c r="G813" s="3" t="s">
        <v>453</v>
      </c>
      <c r="H813">
        <v>5</v>
      </c>
      <c r="I813">
        <v>2349</v>
      </c>
      <c r="J813">
        <v>11745</v>
      </c>
    </row>
    <row r="814" spans="1:10" x14ac:dyDescent="0.2">
      <c r="A814" s="3" t="s">
        <v>1275</v>
      </c>
      <c r="B814" s="5">
        <v>44931</v>
      </c>
      <c r="C814" s="3" t="s">
        <v>101</v>
      </c>
      <c r="D814" s="3" t="s">
        <v>1232</v>
      </c>
      <c r="E814" s="3" t="str">
        <f>VLOOKUP(ventas[[#This Row],[ID Producto]],productos[#All],3,FALSE)</f>
        <v>Lácteos</v>
      </c>
      <c r="F814" s="9" t="s">
        <v>15</v>
      </c>
      <c r="G814" s="3" t="s">
        <v>453</v>
      </c>
      <c r="H814">
        <v>8</v>
      </c>
      <c r="I814">
        <v>2349</v>
      </c>
      <c r="J814">
        <v>18792</v>
      </c>
    </row>
    <row r="815" spans="1:10" x14ac:dyDescent="0.2">
      <c r="A815" s="3" t="s">
        <v>1276</v>
      </c>
      <c r="B815" s="5">
        <v>44948</v>
      </c>
      <c r="C815" s="3" t="s">
        <v>337</v>
      </c>
      <c r="D815" s="3" t="s">
        <v>1232</v>
      </c>
      <c r="E815" s="3" t="str">
        <f>VLOOKUP(ventas[[#This Row],[ID Producto]],productos[#All],3,FALSE)</f>
        <v>Lácteos</v>
      </c>
      <c r="F815" s="9" t="s">
        <v>9</v>
      </c>
      <c r="G815" s="3" t="s">
        <v>463</v>
      </c>
      <c r="H815">
        <v>9</v>
      </c>
      <c r="I815">
        <v>2349</v>
      </c>
      <c r="J815">
        <v>21141</v>
      </c>
    </row>
    <row r="816" spans="1:10" x14ac:dyDescent="0.2">
      <c r="A816" s="3" t="s">
        <v>1277</v>
      </c>
      <c r="B816" s="5">
        <v>45001</v>
      </c>
      <c r="C816" s="3" t="s">
        <v>129</v>
      </c>
      <c r="D816" s="3" t="s">
        <v>1232</v>
      </c>
      <c r="E816" s="3" t="str">
        <f>VLOOKUP(ventas[[#This Row],[ID Producto]],productos[#All],3,FALSE)</f>
        <v>Lácteos</v>
      </c>
      <c r="F816" s="9" t="s">
        <v>11</v>
      </c>
      <c r="G816" s="3" t="s">
        <v>456</v>
      </c>
      <c r="H816">
        <v>1</v>
      </c>
      <c r="I816">
        <v>2349</v>
      </c>
      <c r="J816">
        <v>2349</v>
      </c>
    </row>
    <row r="817" spans="1:10" x14ac:dyDescent="0.2">
      <c r="A817" s="3" t="s">
        <v>1278</v>
      </c>
      <c r="B817" s="5">
        <v>44973</v>
      </c>
      <c r="C817" s="3" t="s">
        <v>443</v>
      </c>
      <c r="D817" s="3" t="s">
        <v>1232</v>
      </c>
      <c r="E817" s="3" t="str">
        <f>VLOOKUP(ventas[[#This Row],[ID Producto]],productos[#All],3,FALSE)</f>
        <v>Lácteos</v>
      </c>
      <c r="F817" s="10" t="s">
        <v>9</v>
      </c>
      <c r="G817" s="3" t="s">
        <v>453</v>
      </c>
      <c r="H817">
        <v>2</v>
      </c>
      <c r="I817">
        <v>2349</v>
      </c>
      <c r="J817">
        <v>4698</v>
      </c>
    </row>
    <row r="818" spans="1:10" x14ac:dyDescent="0.2">
      <c r="A818" s="3" t="s">
        <v>1279</v>
      </c>
      <c r="B818" s="5">
        <v>44927</v>
      </c>
      <c r="C818" s="3" t="s">
        <v>339</v>
      </c>
      <c r="D818" s="3" t="s">
        <v>1232</v>
      </c>
      <c r="E818" s="3" t="str">
        <f>VLOOKUP(ventas[[#This Row],[ID Producto]],productos[#All],3,FALSE)</f>
        <v>Lácteos</v>
      </c>
      <c r="F818" s="10" t="s">
        <v>9</v>
      </c>
      <c r="G818" s="3" t="s">
        <v>453</v>
      </c>
      <c r="H818">
        <v>8</v>
      </c>
      <c r="I818">
        <v>2349</v>
      </c>
      <c r="J818">
        <v>18792</v>
      </c>
    </row>
    <row r="819" spans="1:10" x14ac:dyDescent="0.2">
      <c r="A819" s="3" t="s">
        <v>1280</v>
      </c>
      <c r="B819" s="5">
        <v>45197</v>
      </c>
      <c r="C819" s="3" t="s">
        <v>287</v>
      </c>
      <c r="D819" s="3" t="s">
        <v>1281</v>
      </c>
      <c r="E819" s="3" t="str">
        <f>VLOOKUP(ventas[[#This Row],[ID Producto]],productos[#All],3,FALSE)</f>
        <v>Abarrotes</v>
      </c>
      <c r="F819" s="9" t="s">
        <v>15</v>
      </c>
      <c r="G819" s="3" t="s">
        <v>463</v>
      </c>
      <c r="H819">
        <v>8</v>
      </c>
      <c r="I819">
        <v>2778</v>
      </c>
      <c r="J819">
        <v>22224</v>
      </c>
    </row>
    <row r="820" spans="1:10" x14ac:dyDescent="0.2">
      <c r="A820" s="3" t="s">
        <v>1282</v>
      </c>
      <c r="B820" s="5">
        <v>45290</v>
      </c>
      <c r="C820" s="3" t="s">
        <v>117</v>
      </c>
      <c r="D820" s="3" t="s">
        <v>1281</v>
      </c>
      <c r="E820" s="3" t="str">
        <f>VLOOKUP(ventas[[#This Row],[ID Producto]],productos[#All],3,FALSE)</f>
        <v>Abarrotes</v>
      </c>
      <c r="F820" s="9" t="s">
        <v>9</v>
      </c>
      <c r="G820" s="3" t="s">
        <v>456</v>
      </c>
      <c r="H820">
        <v>1</v>
      </c>
      <c r="I820">
        <v>2778</v>
      </c>
      <c r="J820">
        <v>2778</v>
      </c>
    </row>
    <row r="821" spans="1:10" x14ac:dyDescent="0.2">
      <c r="A821" s="3" t="s">
        <v>1283</v>
      </c>
      <c r="B821" s="5">
        <v>44928</v>
      </c>
      <c r="C821" s="3" t="s">
        <v>339</v>
      </c>
      <c r="D821" s="3" t="s">
        <v>1281</v>
      </c>
      <c r="E821" s="3" t="str">
        <f>VLOOKUP(ventas[[#This Row],[ID Producto]],productos[#All],3,FALSE)</f>
        <v>Abarrotes</v>
      </c>
      <c r="F821" s="9" t="s">
        <v>11</v>
      </c>
      <c r="G821" s="3" t="s">
        <v>463</v>
      </c>
      <c r="H821">
        <v>9</v>
      </c>
      <c r="I821">
        <v>2778</v>
      </c>
      <c r="J821">
        <v>25002</v>
      </c>
    </row>
    <row r="822" spans="1:10" x14ac:dyDescent="0.2">
      <c r="A822" s="3" t="s">
        <v>1284</v>
      </c>
      <c r="B822" s="5">
        <v>45222</v>
      </c>
      <c r="C822" s="3" t="s">
        <v>153</v>
      </c>
      <c r="D822" s="3" t="s">
        <v>1281</v>
      </c>
      <c r="E822" s="3" t="str">
        <f>VLOOKUP(ventas[[#This Row],[ID Producto]],productos[#All],3,FALSE)</f>
        <v>Abarrotes</v>
      </c>
      <c r="F822" s="10" t="s">
        <v>9</v>
      </c>
      <c r="G822" s="3" t="s">
        <v>453</v>
      </c>
      <c r="H822">
        <v>7</v>
      </c>
      <c r="I822">
        <v>2778</v>
      </c>
      <c r="J822">
        <v>19446</v>
      </c>
    </row>
    <row r="823" spans="1:10" x14ac:dyDescent="0.2">
      <c r="A823" s="3" t="s">
        <v>1285</v>
      </c>
      <c r="B823" s="5">
        <v>45133</v>
      </c>
      <c r="C823" s="3" t="s">
        <v>357</v>
      </c>
      <c r="D823" s="3" t="s">
        <v>1281</v>
      </c>
      <c r="E823" s="3" t="str">
        <f>VLOOKUP(ventas[[#This Row],[ID Producto]],productos[#All],3,FALSE)</f>
        <v>Abarrotes</v>
      </c>
      <c r="F823" s="10" t="s">
        <v>9</v>
      </c>
      <c r="G823" s="3" t="s">
        <v>456</v>
      </c>
      <c r="H823">
        <v>6</v>
      </c>
      <c r="I823">
        <v>2778</v>
      </c>
      <c r="J823">
        <v>16668</v>
      </c>
    </row>
    <row r="824" spans="1:10" x14ac:dyDescent="0.2">
      <c r="A824" s="3" t="s">
        <v>1286</v>
      </c>
      <c r="B824" s="5">
        <v>44968</v>
      </c>
      <c r="C824" s="3" t="s">
        <v>375</v>
      </c>
      <c r="D824" s="3" t="s">
        <v>1281</v>
      </c>
      <c r="E824" s="3" t="str">
        <f>VLOOKUP(ventas[[#This Row],[ID Producto]],productos[#All],3,FALSE)</f>
        <v>Abarrotes</v>
      </c>
      <c r="F824" s="9" t="s">
        <v>15</v>
      </c>
      <c r="G824" s="3" t="s">
        <v>463</v>
      </c>
      <c r="H824">
        <v>3</v>
      </c>
      <c r="I824">
        <v>2778</v>
      </c>
      <c r="J824">
        <v>8334</v>
      </c>
    </row>
    <row r="825" spans="1:10" x14ac:dyDescent="0.2">
      <c r="A825" s="3" t="s">
        <v>1287</v>
      </c>
      <c r="B825" s="5">
        <v>45097</v>
      </c>
      <c r="C825" s="3" t="s">
        <v>447</v>
      </c>
      <c r="D825" s="3" t="s">
        <v>1281</v>
      </c>
      <c r="E825" s="3" t="str">
        <f>VLOOKUP(ventas[[#This Row],[ID Producto]],productos[#All],3,FALSE)</f>
        <v>Abarrotes</v>
      </c>
      <c r="F825" s="9" t="s">
        <v>9</v>
      </c>
      <c r="G825" s="3" t="s">
        <v>453</v>
      </c>
      <c r="H825">
        <v>7</v>
      </c>
      <c r="I825">
        <v>2778</v>
      </c>
      <c r="J825">
        <v>19446</v>
      </c>
    </row>
    <row r="826" spans="1:10" x14ac:dyDescent="0.2">
      <c r="A826" s="3" t="s">
        <v>1288</v>
      </c>
      <c r="B826" s="5">
        <v>44962</v>
      </c>
      <c r="C826" s="3" t="s">
        <v>141</v>
      </c>
      <c r="D826" s="3" t="s">
        <v>1281</v>
      </c>
      <c r="E826" s="3" t="str">
        <f>VLOOKUP(ventas[[#This Row],[ID Producto]],productos[#All],3,FALSE)</f>
        <v>Abarrotes</v>
      </c>
      <c r="F826" s="9" t="s">
        <v>11</v>
      </c>
      <c r="G826" s="3" t="s">
        <v>456</v>
      </c>
      <c r="H826">
        <v>6</v>
      </c>
      <c r="I826">
        <v>2778</v>
      </c>
      <c r="J826">
        <v>16668</v>
      </c>
    </row>
    <row r="827" spans="1:10" x14ac:dyDescent="0.2">
      <c r="A827" s="3" t="s">
        <v>1289</v>
      </c>
      <c r="B827" s="5">
        <v>45253</v>
      </c>
      <c r="C827" s="3" t="s">
        <v>261</v>
      </c>
      <c r="D827" s="3" t="s">
        <v>1281</v>
      </c>
      <c r="E827" s="3" t="str">
        <f>VLOOKUP(ventas[[#This Row],[ID Producto]],productos[#All],3,FALSE)</f>
        <v>Abarrotes</v>
      </c>
      <c r="F827" s="10" t="s">
        <v>9</v>
      </c>
      <c r="G827" s="3" t="s">
        <v>463</v>
      </c>
      <c r="H827">
        <v>5</v>
      </c>
      <c r="I827">
        <v>2778</v>
      </c>
      <c r="J827">
        <v>1389</v>
      </c>
    </row>
    <row r="828" spans="1:10" x14ac:dyDescent="0.2">
      <c r="A828" s="3" t="s">
        <v>1290</v>
      </c>
      <c r="B828" s="5">
        <v>45056</v>
      </c>
      <c r="C828" s="3" t="s">
        <v>97</v>
      </c>
      <c r="D828" s="3" t="s">
        <v>1281</v>
      </c>
      <c r="E828" s="3" t="str">
        <f>VLOOKUP(ventas[[#This Row],[ID Producto]],productos[#All],3,FALSE)</f>
        <v>Abarrotes</v>
      </c>
      <c r="F828" s="10" t="s">
        <v>9</v>
      </c>
      <c r="G828" s="3" t="s">
        <v>456</v>
      </c>
      <c r="H828">
        <v>3</v>
      </c>
      <c r="I828">
        <v>2778</v>
      </c>
      <c r="J828">
        <v>8334</v>
      </c>
    </row>
    <row r="829" spans="1:10" x14ac:dyDescent="0.2">
      <c r="A829" s="3" t="s">
        <v>1291</v>
      </c>
      <c r="B829" s="5">
        <v>44979</v>
      </c>
      <c r="C829" s="3" t="s">
        <v>81</v>
      </c>
      <c r="D829" s="3" t="s">
        <v>1281</v>
      </c>
      <c r="E829" s="3" t="str">
        <f>VLOOKUP(ventas[[#This Row],[ID Producto]],productos[#All],3,FALSE)</f>
        <v>Abarrotes</v>
      </c>
      <c r="F829" s="9" t="s">
        <v>15</v>
      </c>
      <c r="G829" s="3" t="s">
        <v>456</v>
      </c>
      <c r="H829">
        <v>6</v>
      </c>
      <c r="I829">
        <v>2778</v>
      </c>
      <c r="J829">
        <v>16668</v>
      </c>
    </row>
    <row r="830" spans="1:10" x14ac:dyDescent="0.2">
      <c r="A830" s="3" t="s">
        <v>1292</v>
      </c>
      <c r="B830" s="5">
        <v>45224</v>
      </c>
      <c r="C830" s="3" t="s">
        <v>171</v>
      </c>
      <c r="D830" s="3" t="s">
        <v>1281</v>
      </c>
      <c r="E830" s="3" t="str">
        <f>VLOOKUP(ventas[[#This Row],[ID Producto]],productos[#All],3,FALSE)</f>
        <v>Abarrotes</v>
      </c>
      <c r="F830" s="9" t="s">
        <v>9</v>
      </c>
      <c r="G830" s="3" t="s">
        <v>456</v>
      </c>
      <c r="H830">
        <v>6</v>
      </c>
      <c r="I830">
        <v>2778</v>
      </c>
      <c r="J830">
        <v>16668</v>
      </c>
    </row>
    <row r="831" spans="1:10" x14ac:dyDescent="0.2">
      <c r="A831" s="3" t="s">
        <v>1293</v>
      </c>
      <c r="B831" s="5">
        <v>45079</v>
      </c>
      <c r="C831" s="3" t="s">
        <v>157</v>
      </c>
      <c r="D831" s="3" t="s">
        <v>1281</v>
      </c>
      <c r="E831" s="3" t="str">
        <f>VLOOKUP(ventas[[#This Row],[ID Producto]],productos[#All],3,FALSE)</f>
        <v>Abarrotes</v>
      </c>
      <c r="F831" s="9" t="s">
        <v>11</v>
      </c>
      <c r="G831" s="3" t="s">
        <v>456</v>
      </c>
      <c r="H831">
        <v>5</v>
      </c>
      <c r="I831">
        <v>2778</v>
      </c>
      <c r="J831">
        <v>1389</v>
      </c>
    </row>
    <row r="832" spans="1:10" x14ac:dyDescent="0.2">
      <c r="A832" s="3" t="s">
        <v>1294</v>
      </c>
      <c r="B832" s="5">
        <v>45025</v>
      </c>
      <c r="C832" s="3" t="s">
        <v>285</v>
      </c>
      <c r="D832" s="3" t="s">
        <v>1281</v>
      </c>
      <c r="E832" s="3" t="str">
        <f>VLOOKUP(ventas[[#This Row],[ID Producto]],productos[#All],3,FALSE)</f>
        <v>Abarrotes</v>
      </c>
      <c r="F832" s="10" t="s">
        <v>9</v>
      </c>
      <c r="G832" s="3" t="s">
        <v>456</v>
      </c>
      <c r="H832">
        <v>4</v>
      </c>
      <c r="I832">
        <v>2778</v>
      </c>
      <c r="J832">
        <v>11112</v>
      </c>
    </row>
    <row r="833" spans="1:10" x14ac:dyDescent="0.2">
      <c r="A833" s="3" t="s">
        <v>1295</v>
      </c>
      <c r="B833" s="5">
        <v>45182</v>
      </c>
      <c r="C833" s="3" t="s">
        <v>321</v>
      </c>
      <c r="D833" s="3" t="s">
        <v>1281</v>
      </c>
      <c r="E833" s="3" t="str">
        <f>VLOOKUP(ventas[[#This Row],[ID Producto]],productos[#All],3,FALSE)</f>
        <v>Abarrotes</v>
      </c>
      <c r="F833" s="10" t="s">
        <v>9</v>
      </c>
      <c r="G833" s="3" t="s">
        <v>456</v>
      </c>
      <c r="H833">
        <v>1</v>
      </c>
      <c r="I833">
        <v>2778</v>
      </c>
      <c r="J833">
        <v>2778</v>
      </c>
    </row>
    <row r="834" spans="1:10" x14ac:dyDescent="0.2">
      <c r="A834" s="3" t="s">
        <v>1296</v>
      </c>
      <c r="B834" s="5">
        <v>45206</v>
      </c>
      <c r="C834" s="3" t="s">
        <v>303</v>
      </c>
      <c r="D834" s="3" t="s">
        <v>1281</v>
      </c>
      <c r="E834" s="3" t="str">
        <f>VLOOKUP(ventas[[#This Row],[ID Producto]],productos[#All],3,FALSE)</f>
        <v>Abarrotes</v>
      </c>
      <c r="F834" s="9" t="s">
        <v>15</v>
      </c>
      <c r="G834" s="3" t="s">
        <v>463</v>
      </c>
      <c r="H834">
        <v>5</v>
      </c>
      <c r="I834">
        <v>2778</v>
      </c>
      <c r="J834">
        <v>1389</v>
      </c>
    </row>
    <row r="835" spans="1:10" x14ac:dyDescent="0.2">
      <c r="A835" s="3" t="s">
        <v>1297</v>
      </c>
      <c r="B835" s="5">
        <v>45214</v>
      </c>
      <c r="C835" s="3" t="s">
        <v>277</v>
      </c>
      <c r="D835" s="3" t="s">
        <v>1281</v>
      </c>
      <c r="E835" s="3" t="str">
        <f>VLOOKUP(ventas[[#This Row],[ID Producto]],productos[#All],3,FALSE)</f>
        <v>Abarrotes</v>
      </c>
      <c r="F835" s="9" t="s">
        <v>9</v>
      </c>
      <c r="G835" s="3" t="s">
        <v>463</v>
      </c>
      <c r="H835">
        <v>4</v>
      </c>
      <c r="I835">
        <v>2778</v>
      </c>
      <c r="J835">
        <v>11112</v>
      </c>
    </row>
    <row r="836" spans="1:10" x14ac:dyDescent="0.2">
      <c r="A836" s="3" t="s">
        <v>1298</v>
      </c>
      <c r="B836" s="5">
        <v>45281</v>
      </c>
      <c r="C836" s="3" t="s">
        <v>121</v>
      </c>
      <c r="D836" s="3" t="s">
        <v>1281</v>
      </c>
      <c r="E836" s="3" t="str">
        <f>VLOOKUP(ventas[[#This Row],[ID Producto]],productos[#All],3,FALSE)</f>
        <v>Abarrotes</v>
      </c>
      <c r="F836" s="9" t="s">
        <v>11</v>
      </c>
      <c r="G836" s="3" t="s">
        <v>463</v>
      </c>
      <c r="H836">
        <v>4</v>
      </c>
      <c r="I836">
        <v>2778</v>
      </c>
      <c r="J836">
        <v>11112</v>
      </c>
    </row>
    <row r="837" spans="1:10" x14ac:dyDescent="0.2">
      <c r="A837" s="3" t="s">
        <v>1299</v>
      </c>
      <c r="B837" s="5">
        <v>45280</v>
      </c>
      <c r="C837" s="3" t="s">
        <v>353</v>
      </c>
      <c r="D837" s="3" t="s">
        <v>1281</v>
      </c>
      <c r="E837" s="3" t="str">
        <f>VLOOKUP(ventas[[#This Row],[ID Producto]],productos[#All],3,FALSE)</f>
        <v>Abarrotes</v>
      </c>
      <c r="F837" s="10" t="s">
        <v>9</v>
      </c>
      <c r="G837" s="3" t="s">
        <v>456</v>
      </c>
      <c r="H837">
        <v>3</v>
      </c>
      <c r="I837">
        <v>2778</v>
      </c>
      <c r="J837">
        <v>8334</v>
      </c>
    </row>
    <row r="838" spans="1:10" x14ac:dyDescent="0.2">
      <c r="A838" s="3" t="s">
        <v>1300</v>
      </c>
      <c r="B838" s="5">
        <v>45079</v>
      </c>
      <c r="C838" s="3" t="s">
        <v>219</v>
      </c>
      <c r="D838" s="3" t="s">
        <v>1281</v>
      </c>
      <c r="E838" s="3" t="str">
        <f>VLOOKUP(ventas[[#This Row],[ID Producto]],productos[#All],3,FALSE)</f>
        <v>Abarrotes</v>
      </c>
      <c r="F838" s="10" t="s">
        <v>9</v>
      </c>
      <c r="G838" s="3" t="s">
        <v>463</v>
      </c>
      <c r="H838">
        <v>7</v>
      </c>
      <c r="I838">
        <v>2778</v>
      </c>
      <c r="J838">
        <v>19446</v>
      </c>
    </row>
    <row r="839" spans="1:10" x14ac:dyDescent="0.2">
      <c r="A839" s="3" t="s">
        <v>1301</v>
      </c>
      <c r="B839" s="5">
        <v>45116</v>
      </c>
      <c r="C839" s="3" t="s">
        <v>109</v>
      </c>
      <c r="D839" s="3" t="s">
        <v>1281</v>
      </c>
      <c r="E839" s="3" t="str">
        <f>VLOOKUP(ventas[[#This Row],[ID Producto]],productos[#All],3,FALSE)</f>
        <v>Abarrotes</v>
      </c>
      <c r="F839" s="9" t="s">
        <v>15</v>
      </c>
      <c r="G839" s="3" t="s">
        <v>463</v>
      </c>
      <c r="H839">
        <v>3</v>
      </c>
      <c r="I839">
        <v>2778</v>
      </c>
      <c r="J839">
        <v>8334</v>
      </c>
    </row>
    <row r="840" spans="1:10" x14ac:dyDescent="0.2">
      <c r="A840" s="3" t="s">
        <v>1302</v>
      </c>
      <c r="B840" s="5">
        <v>45231</v>
      </c>
      <c r="C840" s="3" t="s">
        <v>445</v>
      </c>
      <c r="D840" s="3" t="s">
        <v>1281</v>
      </c>
      <c r="E840" s="3" t="str">
        <f>VLOOKUP(ventas[[#This Row],[ID Producto]],productos[#All],3,FALSE)</f>
        <v>Abarrotes</v>
      </c>
      <c r="F840" s="9" t="s">
        <v>9</v>
      </c>
      <c r="G840" s="3" t="s">
        <v>453</v>
      </c>
      <c r="H840">
        <v>1</v>
      </c>
      <c r="I840">
        <v>2778</v>
      </c>
      <c r="J840">
        <v>2778</v>
      </c>
    </row>
    <row r="841" spans="1:10" x14ac:dyDescent="0.2">
      <c r="A841" s="3" t="s">
        <v>1303</v>
      </c>
      <c r="B841" s="5">
        <v>44965</v>
      </c>
      <c r="C841" s="3" t="s">
        <v>71</v>
      </c>
      <c r="D841" s="3" t="s">
        <v>1281</v>
      </c>
      <c r="E841" s="3" t="str">
        <f>VLOOKUP(ventas[[#This Row],[ID Producto]],productos[#All],3,FALSE)</f>
        <v>Abarrotes</v>
      </c>
      <c r="F841" s="9" t="s">
        <v>11</v>
      </c>
      <c r="G841" s="3" t="s">
        <v>463</v>
      </c>
      <c r="H841">
        <v>7</v>
      </c>
      <c r="I841">
        <v>2778</v>
      </c>
      <c r="J841">
        <v>19446</v>
      </c>
    </row>
    <row r="842" spans="1:10" x14ac:dyDescent="0.2">
      <c r="A842" s="3" t="s">
        <v>1304</v>
      </c>
      <c r="B842" s="5">
        <v>45256</v>
      </c>
      <c r="C842" s="3" t="s">
        <v>279</v>
      </c>
      <c r="D842" s="3" t="s">
        <v>1281</v>
      </c>
      <c r="E842" s="3" t="str">
        <f>VLOOKUP(ventas[[#This Row],[ID Producto]],productos[#All],3,FALSE)</f>
        <v>Abarrotes</v>
      </c>
      <c r="F842" s="10" t="s">
        <v>9</v>
      </c>
      <c r="G842" s="3" t="s">
        <v>453</v>
      </c>
      <c r="H842">
        <v>3</v>
      </c>
      <c r="I842">
        <v>2778</v>
      </c>
      <c r="J842">
        <v>8334</v>
      </c>
    </row>
    <row r="843" spans="1:10" x14ac:dyDescent="0.2">
      <c r="A843" s="3" t="s">
        <v>1305</v>
      </c>
      <c r="B843" s="5">
        <v>45143</v>
      </c>
      <c r="C843" s="3" t="s">
        <v>125</v>
      </c>
      <c r="D843" s="3" t="s">
        <v>1281</v>
      </c>
      <c r="E843" s="3" t="str">
        <f>VLOOKUP(ventas[[#This Row],[ID Producto]],productos[#All],3,FALSE)</f>
        <v>Abarrotes</v>
      </c>
      <c r="F843" s="10" t="s">
        <v>9</v>
      </c>
      <c r="G843" s="3" t="s">
        <v>463</v>
      </c>
      <c r="H843">
        <v>7</v>
      </c>
      <c r="I843">
        <v>2778</v>
      </c>
      <c r="J843">
        <v>19446</v>
      </c>
    </row>
    <row r="844" spans="1:10" x14ac:dyDescent="0.2">
      <c r="A844" s="3" t="s">
        <v>1306</v>
      </c>
      <c r="B844" s="5">
        <v>44978</v>
      </c>
      <c r="C844" s="3" t="s">
        <v>331</v>
      </c>
      <c r="D844" s="3" t="s">
        <v>1281</v>
      </c>
      <c r="E844" s="3" t="str">
        <f>VLOOKUP(ventas[[#This Row],[ID Producto]],productos[#All],3,FALSE)</f>
        <v>Abarrotes</v>
      </c>
      <c r="F844" s="9" t="s">
        <v>15</v>
      </c>
      <c r="G844" s="3" t="s">
        <v>463</v>
      </c>
      <c r="H844">
        <v>9</v>
      </c>
      <c r="I844">
        <v>2778</v>
      </c>
      <c r="J844">
        <v>25002</v>
      </c>
    </row>
    <row r="845" spans="1:10" x14ac:dyDescent="0.2">
      <c r="A845" s="3" t="s">
        <v>1307</v>
      </c>
      <c r="B845" s="5">
        <v>44995</v>
      </c>
      <c r="C845" s="3" t="s">
        <v>183</v>
      </c>
      <c r="D845" s="3" t="s">
        <v>1281</v>
      </c>
      <c r="E845" s="3" t="str">
        <f>VLOOKUP(ventas[[#This Row],[ID Producto]],productos[#All],3,FALSE)</f>
        <v>Abarrotes</v>
      </c>
      <c r="F845" s="9" t="s">
        <v>9</v>
      </c>
      <c r="G845" s="3" t="s">
        <v>456</v>
      </c>
      <c r="H845">
        <v>2</v>
      </c>
      <c r="I845">
        <v>2778</v>
      </c>
      <c r="J845">
        <v>5556</v>
      </c>
    </row>
    <row r="846" spans="1:10" x14ac:dyDescent="0.2">
      <c r="A846" s="3" t="s">
        <v>1308</v>
      </c>
      <c r="B846" s="5">
        <v>45025</v>
      </c>
      <c r="C846" s="3" t="s">
        <v>339</v>
      </c>
      <c r="D846" s="3" t="s">
        <v>1281</v>
      </c>
      <c r="E846" s="3" t="str">
        <f>VLOOKUP(ventas[[#This Row],[ID Producto]],productos[#All],3,FALSE)</f>
        <v>Abarrotes</v>
      </c>
      <c r="F846" s="9" t="s">
        <v>11</v>
      </c>
      <c r="G846" s="3" t="s">
        <v>453</v>
      </c>
      <c r="H846">
        <v>6</v>
      </c>
      <c r="I846">
        <v>2778</v>
      </c>
      <c r="J846">
        <v>16668</v>
      </c>
    </row>
    <row r="847" spans="1:10" x14ac:dyDescent="0.2">
      <c r="A847" s="3" t="s">
        <v>1309</v>
      </c>
      <c r="B847" s="5">
        <v>45112</v>
      </c>
      <c r="C847" s="3" t="s">
        <v>289</v>
      </c>
      <c r="D847" s="3" t="s">
        <v>1281</v>
      </c>
      <c r="E847" s="3" t="str">
        <f>VLOOKUP(ventas[[#This Row],[ID Producto]],productos[#All],3,FALSE)</f>
        <v>Abarrotes</v>
      </c>
      <c r="F847" s="10" t="s">
        <v>9</v>
      </c>
      <c r="G847" s="3" t="s">
        <v>463</v>
      </c>
      <c r="H847">
        <v>2</v>
      </c>
      <c r="I847">
        <v>2778</v>
      </c>
      <c r="J847">
        <v>5556</v>
      </c>
    </row>
    <row r="848" spans="1:10" x14ac:dyDescent="0.2">
      <c r="A848" s="3" t="s">
        <v>1310</v>
      </c>
      <c r="B848" s="5">
        <v>45048</v>
      </c>
      <c r="C848" s="3" t="s">
        <v>439</v>
      </c>
      <c r="D848" s="3" t="s">
        <v>1281</v>
      </c>
      <c r="E848" s="3" t="str">
        <f>VLOOKUP(ventas[[#This Row],[ID Producto]],productos[#All],3,FALSE)</f>
        <v>Abarrotes</v>
      </c>
      <c r="F848" s="10" t="s">
        <v>9</v>
      </c>
      <c r="G848" s="3" t="s">
        <v>456</v>
      </c>
      <c r="H848">
        <v>9</v>
      </c>
      <c r="I848">
        <v>2778</v>
      </c>
      <c r="J848">
        <v>25002</v>
      </c>
    </row>
    <row r="849" spans="1:10" x14ac:dyDescent="0.2">
      <c r="A849" s="3" t="s">
        <v>1311</v>
      </c>
      <c r="B849" s="5">
        <v>45002</v>
      </c>
      <c r="C849" s="3" t="s">
        <v>415</v>
      </c>
      <c r="D849" s="3" t="s">
        <v>1281</v>
      </c>
      <c r="E849" s="3" t="str">
        <f>VLOOKUP(ventas[[#This Row],[ID Producto]],productos[#All],3,FALSE)</f>
        <v>Abarrotes</v>
      </c>
      <c r="F849" s="9" t="s">
        <v>15</v>
      </c>
      <c r="G849" s="3" t="s">
        <v>453</v>
      </c>
      <c r="H849">
        <v>4</v>
      </c>
      <c r="I849">
        <v>2778</v>
      </c>
      <c r="J849">
        <v>11112</v>
      </c>
    </row>
    <row r="850" spans="1:10" x14ac:dyDescent="0.2">
      <c r="A850" s="3" t="s">
        <v>1312</v>
      </c>
      <c r="B850" s="5">
        <v>44931</v>
      </c>
      <c r="C850" s="3" t="s">
        <v>343</v>
      </c>
      <c r="D850" s="3" t="s">
        <v>1281</v>
      </c>
      <c r="E850" s="3" t="str">
        <f>VLOOKUP(ventas[[#This Row],[ID Producto]],productos[#All],3,FALSE)</f>
        <v>Abarrotes</v>
      </c>
      <c r="F850" s="9" t="s">
        <v>9</v>
      </c>
      <c r="G850" s="3" t="s">
        <v>456</v>
      </c>
      <c r="H850">
        <v>5</v>
      </c>
      <c r="I850">
        <v>2778</v>
      </c>
      <c r="J850">
        <v>1389</v>
      </c>
    </row>
    <row r="851" spans="1:10" x14ac:dyDescent="0.2">
      <c r="A851" s="3" t="s">
        <v>1313</v>
      </c>
      <c r="B851" s="5">
        <v>45247</v>
      </c>
      <c r="C851" s="3" t="s">
        <v>195</v>
      </c>
      <c r="D851" s="3" t="s">
        <v>1281</v>
      </c>
      <c r="E851" s="3" t="str">
        <f>VLOOKUP(ventas[[#This Row],[ID Producto]],productos[#All],3,FALSE)</f>
        <v>Abarrotes</v>
      </c>
      <c r="F851" s="9" t="s">
        <v>11</v>
      </c>
      <c r="G851" s="3" t="s">
        <v>453</v>
      </c>
      <c r="H851">
        <v>9</v>
      </c>
      <c r="I851">
        <v>2778</v>
      </c>
      <c r="J851">
        <v>25002</v>
      </c>
    </row>
    <row r="852" spans="1:10" x14ac:dyDescent="0.2">
      <c r="A852" s="3" t="s">
        <v>1314</v>
      </c>
      <c r="B852" s="5">
        <v>45268</v>
      </c>
      <c r="C852" s="3" t="s">
        <v>261</v>
      </c>
      <c r="D852" s="3" t="s">
        <v>1281</v>
      </c>
      <c r="E852" s="3" t="str">
        <f>VLOOKUP(ventas[[#This Row],[ID Producto]],productos[#All],3,FALSE)</f>
        <v>Abarrotes</v>
      </c>
      <c r="F852" s="10" t="s">
        <v>9</v>
      </c>
      <c r="G852" s="3" t="s">
        <v>453</v>
      </c>
      <c r="H852">
        <v>8</v>
      </c>
      <c r="I852">
        <v>2778</v>
      </c>
      <c r="J852">
        <v>22224</v>
      </c>
    </row>
    <row r="853" spans="1:10" x14ac:dyDescent="0.2">
      <c r="A853" s="3" t="s">
        <v>1315</v>
      </c>
      <c r="B853" s="5">
        <v>44945</v>
      </c>
      <c r="C853" s="3" t="s">
        <v>293</v>
      </c>
      <c r="D853" s="3" t="s">
        <v>1281</v>
      </c>
      <c r="E853" s="3" t="str">
        <f>VLOOKUP(ventas[[#This Row],[ID Producto]],productos[#All],3,FALSE)</f>
        <v>Abarrotes</v>
      </c>
      <c r="F853" s="10" t="s">
        <v>9</v>
      </c>
      <c r="G853" s="3" t="s">
        <v>453</v>
      </c>
      <c r="H853">
        <v>4</v>
      </c>
      <c r="I853">
        <v>2778</v>
      </c>
      <c r="J853">
        <v>11112</v>
      </c>
    </row>
    <row r="854" spans="1:10" x14ac:dyDescent="0.2">
      <c r="A854" s="3" t="s">
        <v>1316</v>
      </c>
      <c r="B854" s="5">
        <v>45074</v>
      </c>
      <c r="C854" s="3" t="s">
        <v>287</v>
      </c>
      <c r="D854" s="3" t="s">
        <v>1281</v>
      </c>
      <c r="E854" s="3" t="str">
        <f>VLOOKUP(ventas[[#This Row],[ID Producto]],productos[#All],3,FALSE)</f>
        <v>Abarrotes</v>
      </c>
      <c r="F854" s="9" t="s">
        <v>15</v>
      </c>
      <c r="G854" s="3" t="s">
        <v>453</v>
      </c>
      <c r="H854">
        <v>8</v>
      </c>
      <c r="I854">
        <v>2778</v>
      </c>
      <c r="J854">
        <v>22224</v>
      </c>
    </row>
    <row r="855" spans="1:10" x14ac:dyDescent="0.2">
      <c r="A855" s="3" t="s">
        <v>1317</v>
      </c>
      <c r="B855" s="5">
        <v>44927</v>
      </c>
      <c r="C855" s="3" t="s">
        <v>193</v>
      </c>
      <c r="D855" s="3" t="s">
        <v>1281</v>
      </c>
      <c r="E855" s="3" t="str">
        <f>VLOOKUP(ventas[[#This Row],[ID Producto]],productos[#All],3,FALSE)</f>
        <v>Abarrotes</v>
      </c>
      <c r="F855" s="9" t="s">
        <v>9</v>
      </c>
      <c r="G855" s="3" t="s">
        <v>463</v>
      </c>
      <c r="H855">
        <v>4</v>
      </c>
      <c r="I855">
        <v>2778</v>
      </c>
      <c r="J855">
        <v>11112</v>
      </c>
    </row>
    <row r="856" spans="1:10" x14ac:dyDescent="0.2">
      <c r="A856" s="3" t="s">
        <v>1318</v>
      </c>
      <c r="B856" s="5">
        <v>45129</v>
      </c>
      <c r="C856" s="3" t="s">
        <v>127</v>
      </c>
      <c r="D856" s="3" t="s">
        <v>1281</v>
      </c>
      <c r="E856" s="3" t="str">
        <f>VLOOKUP(ventas[[#This Row],[ID Producto]],productos[#All],3,FALSE)</f>
        <v>Abarrotes</v>
      </c>
      <c r="F856" s="9" t="s">
        <v>11</v>
      </c>
      <c r="G856" s="3" t="s">
        <v>453</v>
      </c>
      <c r="H856">
        <v>7</v>
      </c>
      <c r="I856">
        <v>2778</v>
      </c>
      <c r="J856">
        <v>19446</v>
      </c>
    </row>
    <row r="857" spans="1:10" x14ac:dyDescent="0.2">
      <c r="A857" s="3" t="s">
        <v>1319</v>
      </c>
      <c r="B857" s="5">
        <v>45155</v>
      </c>
      <c r="C857" s="3" t="s">
        <v>57</v>
      </c>
      <c r="D857" s="3" t="s">
        <v>1281</v>
      </c>
      <c r="E857" s="3" t="str">
        <f>VLOOKUP(ventas[[#This Row],[ID Producto]],productos[#All],3,FALSE)</f>
        <v>Abarrotes</v>
      </c>
      <c r="F857" s="10" t="s">
        <v>9</v>
      </c>
      <c r="G857" s="3" t="s">
        <v>456</v>
      </c>
      <c r="H857">
        <v>6</v>
      </c>
      <c r="I857">
        <v>2778</v>
      </c>
      <c r="J857">
        <v>16668</v>
      </c>
    </row>
    <row r="858" spans="1:10" x14ac:dyDescent="0.2">
      <c r="A858" s="3" t="s">
        <v>1320</v>
      </c>
      <c r="B858" s="5">
        <v>45112</v>
      </c>
      <c r="C858" s="3" t="s">
        <v>127</v>
      </c>
      <c r="D858" s="3" t="s">
        <v>1281</v>
      </c>
      <c r="E858" s="3" t="str">
        <f>VLOOKUP(ventas[[#This Row],[ID Producto]],productos[#All],3,FALSE)</f>
        <v>Abarrotes</v>
      </c>
      <c r="F858" s="10" t="s">
        <v>9</v>
      </c>
      <c r="G858" s="3" t="s">
        <v>463</v>
      </c>
      <c r="H858">
        <v>3</v>
      </c>
      <c r="I858">
        <v>2778</v>
      </c>
      <c r="J858">
        <v>8334</v>
      </c>
    </row>
    <row r="859" spans="1:10" x14ac:dyDescent="0.2">
      <c r="A859" s="3" t="s">
        <v>1321</v>
      </c>
      <c r="B859" s="5">
        <v>44954</v>
      </c>
      <c r="C859" s="3" t="s">
        <v>229</v>
      </c>
      <c r="D859" s="3" t="s">
        <v>1281</v>
      </c>
      <c r="E859" s="3" t="str">
        <f>VLOOKUP(ventas[[#This Row],[ID Producto]],productos[#All],3,FALSE)</f>
        <v>Abarrotes</v>
      </c>
      <c r="F859" s="9" t="s">
        <v>15</v>
      </c>
      <c r="G859" s="3" t="s">
        <v>463</v>
      </c>
      <c r="H859">
        <v>3</v>
      </c>
      <c r="I859">
        <v>2778</v>
      </c>
      <c r="J859">
        <v>8334</v>
      </c>
    </row>
    <row r="860" spans="1:10" x14ac:dyDescent="0.2">
      <c r="A860" s="3" t="s">
        <v>1322</v>
      </c>
      <c r="B860" s="5">
        <v>45127</v>
      </c>
      <c r="C860" s="3" t="s">
        <v>241</v>
      </c>
      <c r="D860" s="3" t="s">
        <v>1281</v>
      </c>
      <c r="E860" s="3" t="str">
        <f>VLOOKUP(ventas[[#This Row],[ID Producto]],productos[#All],3,FALSE)</f>
        <v>Abarrotes</v>
      </c>
      <c r="F860" s="9" t="s">
        <v>9</v>
      </c>
      <c r="G860" s="3" t="s">
        <v>463</v>
      </c>
      <c r="H860">
        <v>3</v>
      </c>
      <c r="I860">
        <v>2778</v>
      </c>
      <c r="J860">
        <v>8334</v>
      </c>
    </row>
    <row r="861" spans="1:10" x14ac:dyDescent="0.2">
      <c r="A861" s="3" t="s">
        <v>1323</v>
      </c>
      <c r="B861" s="5">
        <v>45025</v>
      </c>
      <c r="C861" s="3" t="s">
        <v>435</v>
      </c>
      <c r="D861" s="3" t="s">
        <v>1281</v>
      </c>
      <c r="E861" s="3" t="str">
        <f>VLOOKUP(ventas[[#This Row],[ID Producto]],productos[#All],3,FALSE)</f>
        <v>Abarrotes</v>
      </c>
      <c r="F861" s="9" t="s">
        <v>11</v>
      </c>
      <c r="G861" s="3" t="s">
        <v>463</v>
      </c>
      <c r="H861">
        <v>6</v>
      </c>
      <c r="I861">
        <v>2778</v>
      </c>
      <c r="J861">
        <v>16668</v>
      </c>
    </row>
    <row r="862" spans="1:10" x14ac:dyDescent="0.2">
      <c r="A862" s="3" t="s">
        <v>1324</v>
      </c>
      <c r="B862" s="5">
        <v>45199</v>
      </c>
      <c r="C862" s="3" t="s">
        <v>219</v>
      </c>
      <c r="D862" s="3" t="s">
        <v>1281</v>
      </c>
      <c r="E862" s="3" t="str">
        <f>VLOOKUP(ventas[[#This Row],[ID Producto]],productos[#All],3,FALSE)</f>
        <v>Abarrotes</v>
      </c>
      <c r="F862" s="10" t="s">
        <v>9</v>
      </c>
      <c r="G862" s="3" t="s">
        <v>453</v>
      </c>
      <c r="H862">
        <v>2</v>
      </c>
      <c r="I862">
        <v>2778</v>
      </c>
      <c r="J862">
        <v>5556</v>
      </c>
    </row>
    <row r="863" spans="1:10" x14ac:dyDescent="0.2">
      <c r="A863" s="3" t="s">
        <v>1325</v>
      </c>
      <c r="B863" s="5">
        <v>45159</v>
      </c>
      <c r="C863" s="3" t="s">
        <v>279</v>
      </c>
      <c r="D863" s="3" t="s">
        <v>1281</v>
      </c>
      <c r="E863" s="3" t="str">
        <f>VLOOKUP(ventas[[#This Row],[ID Producto]],productos[#All],3,FALSE)</f>
        <v>Abarrotes</v>
      </c>
      <c r="F863" s="10" t="s">
        <v>9</v>
      </c>
      <c r="G863" s="3" t="s">
        <v>463</v>
      </c>
      <c r="H863">
        <v>2</v>
      </c>
      <c r="I863">
        <v>2778</v>
      </c>
      <c r="J863">
        <v>5556</v>
      </c>
    </row>
    <row r="864" spans="1:10" x14ac:dyDescent="0.2">
      <c r="A864" s="3" t="s">
        <v>1326</v>
      </c>
      <c r="B864" s="5">
        <v>45037</v>
      </c>
      <c r="C864" s="3" t="s">
        <v>379</v>
      </c>
      <c r="D864" s="3" t="s">
        <v>1281</v>
      </c>
      <c r="E864" s="3" t="str">
        <f>VLOOKUP(ventas[[#This Row],[ID Producto]],productos[#All],3,FALSE)</f>
        <v>Abarrotes</v>
      </c>
      <c r="F864" s="9" t="s">
        <v>15</v>
      </c>
      <c r="G864" s="3" t="s">
        <v>453</v>
      </c>
      <c r="H864">
        <v>5</v>
      </c>
      <c r="I864">
        <v>2778</v>
      </c>
      <c r="J864">
        <v>1389</v>
      </c>
    </row>
    <row r="865" spans="1:10" x14ac:dyDescent="0.2">
      <c r="A865" s="3" t="s">
        <v>1327</v>
      </c>
      <c r="B865" s="5">
        <v>45162</v>
      </c>
      <c r="C865" s="3" t="s">
        <v>291</v>
      </c>
      <c r="D865" s="3" t="s">
        <v>1281</v>
      </c>
      <c r="E865" s="3" t="str">
        <f>VLOOKUP(ventas[[#This Row],[ID Producto]],productos[#All],3,FALSE)</f>
        <v>Abarrotes</v>
      </c>
      <c r="F865" s="9" t="s">
        <v>9</v>
      </c>
      <c r="G865" s="3" t="s">
        <v>456</v>
      </c>
      <c r="H865">
        <v>2</v>
      </c>
      <c r="I865">
        <v>2778</v>
      </c>
      <c r="J865">
        <v>5556</v>
      </c>
    </row>
    <row r="866" spans="1:10" x14ac:dyDescent="0.2">
      <c r="A866" s="3" t="s">
        <v>1328</v>
      </c>
      <c r="B866" s="5">
        <v>45038</v>
      </c>
      <c r="C866" s="3" t="s">
        <v>275</v>
      </c>
      <c r="D866" s="3" t="s">
        <v>1281</v>
      </c>
      <c r="E866" s="3" t="str">
        <f>VLOOKUP(ventas[[#This Row],[ID Producto]],productos[#All],3,FALSE)</f>
        <v>Abarrotes</v>
      </c>
      <c r="F866" s="9" t="s">
        <v>11</v>
      </c>
      <c r="G866" s="3" t="s">
        <v>453</v>
      </c>
      <c r="H866">
        <v>7</v>
      </c>
      <c r="I866">
        <v>2778</v>
      </c>
      <c r="J866">
        <v>19446</v>
      </c>
    </row>
    <row r="867" spans="1:10" x14ac:dyDescent="0.2">
      <c r="A867" s="3" t="s">
        <v>1329</v>
      </c>
      <c r="B867" s="5">
        <v>45244</v>
      </c>
      <c r="C867" s="3" t="s">
        <v>231</v>
      </c>
      <c r="D867" s="3" t="s">
        <v>1281</v>
      </c>
      <c r="E867" s="3" t="str">
        <f>VLOOKUP(ventas[[#This Row],[ID Producto]],productos[#All],3,FALSE)</f>
        <v>Abarrotes</v>
      </c>
      <c r="F867" s="10" t="s">
        <v>9</v>
      </c>
      <c r="G867" s="3" t="s">
        <v>453</v>
      </c>
      <c r="H867">
        <v>4</v>
      </c>
      <c r="I867">
        <v>2778</v>
      </c>
      <c r="J867">
        <v>11112</v>
      </c>
    </row>
    <row r="868" spans="1:10" x14ac:dyDescent="0.2">
      <c r="A868" s="3" t="s">
        <v>1330</v>
      </c>
      <c r="B868" s="5">
        <v>45173</v>
      </c>
      <c r="C868" s="3" t="s">
        <v>61</v>
      </c>
      <c r="D868" s="3" t="s">
        <v>1281</v>
      </c>
      <c r="E868" s="3" t="str">
        <f>VLOOKUP(ventas[[#This Row],[ID Producto]],productos[#All],3,FALSE)</f>
        <v>Abarrotes</v>
      </c>
      <c r="F868" s="10" t="s">
        <v>9</v>
      </c>
      <c r="G868" s="3" t="s">
        <v>453</v>
      </c>
      <c r="H868">
        <v>9</v>
      </c>
      <c r="I868">
        <v>2778</v>
      </c>
      <c r="J868">
        <v>25002</v>
      </c>
    </row>
    <row r="869" spans="1:10" x14ac:dyDescent="0.2">
      <c r="A869" s="3" t="s">
        <v>1331</v>
      </c>
      <c r="B869" s="5">
        <v>45044</v>
      </c>
      <c r="C869" s="3" t="s">
        <v>71</v>
      </c>
      <c r="D869" s="3" t="s">
        <v>1281</v>
      </c>
      <c r="E869" s="3" t="str">
        <f>VLOOKUP(ventas[[#This Row],[ID Producto]],productos[#All],3,FALSE)</f>
        <v>Abarrotes</v>
      </c>
      <c r="F869" s="9" t="s">
        <v>15</v>
      </c>
      <c r="G869" s="3" t="s">
        <v>463</v>
      </c>
      <c r="H869">
        <v>8</v>
      </c>
      <c r="I869">
        <v>2778</v>
      </c>
      <c r="J869">
        <v>22224</v>
      </c>
    </row>
    <row r="870" spans="1:10" x14ac:dyDescent="0.2">
      <c r="A870" s="3" t="s">
        <v>1332</v>
      </c>
      <c r="B870" s="5">
        <v>45261</v>
      </c>
      <c r="C870" s="3" t="s">
        <v>97</v>
      </c>
      <c r="D870" s="3" t="s">
        <v>1281</v>
      </c>
      <c r="E870" s="3" t="str">
        <f>VLOOKUP(ventas[[#This Row],[ID Producto]],productos[#All],3,FALSE)</f>
        <v>Abarrotes</v>
      </c>
      <c r="F870" s="9" t="s">
        <v>9</v>
      </c>
      <c r="G870" s="3" t="s">
        <v>463</v>
      </c>
      <c r="H870">
        <v>6</v>
      </c>
      <c r="I870">
        <v>2778</v>
      </c>
      <c r="J870">
        <v>16668</v>
      </c>
    </row>
    <row r="871" spans="1:10" x14ac:dyDescent="0.2">
      <c r="A871" s="3" t="s">
        <v>1333</v>
      </c>
      <c r="B871" s="5">
        <v>45170</v>
      </c>
      <c r="C871" s="3" t="s">
        <v>127</v>
      </c>
      <c r="D871" s="3" t="s">
        <v>1334</v>
      </c>
      <c r="E871" s="3" t="str">
        <f>VLOOKUP(ventas[[#This Row],[ID Producto]],productos[#All],3,FALSE)</f>
        <v>Abarrotes</v>
      </c>
      <c r="F871" s="9" t="s">
        <v>11</v>
      </c>
      <c r="G871" s="3" t="s">
        <v>453</v>
      </c>
      <c r="H871">
        <v>7</v>
      </c>
      <c r="I871">
        <v>386</v>
      </c>
      <c r="J871">
        <v>2702</v>
      </c>
    </row>
    <row r="872" spans="1:10" x14ac:dyDescent="0.2">
      <c r="A872" s="3" t="s">
        <v>1335</v>
      </c>
      <c r="B872" s="5">
        <v>45128</v>
      </c>
      <c r="C872" s="3" t="s">
        <v>379</v>
      </c>
      <c r="D872" s="3" t="s">
        <v>1334</v>
      </c>
      <c r="E872" s="3" t="str">
        <f>VLOOKUP(ventas[[#This Row],[ID Producto]],productos[#All],3,FALSE)</f>
        <v>Abarrotes</v>
      </c>
      <c r="F872" s="10" t="s">
        <v>9</v>
      </c>
      <c r="G872" s="3" t="s">
        <v>453</v>
      </c>
      <c r="H872">
        <v>5</v>
      </c>
      <c r="I872">
        <v>386</v>
      </c>
      <c r="J872">
        <v>193</v>
      </c>
    </row>
    <row r="873" spans="1:10" x14ac:dyDescent="0.2">
      <c r="A873" s="3" t="s">
        <v>1336</v>
      </c>
      <c r="B873" s="5">
        <v>45181</v>
      </c>
      <c r="C873" s="3" t="s">
        <v>199</v>
      </c>
      <c r="D873" s="3" t="s">
        <v>1334</v>
      </c>
      <c r="E873" s="3" t="str">
        <f>VLOOKUP(ventas[[#This Row],[ID Producto]],productos[#All],3,FALSE)</f>
        <v>Abarrotes</v>
      </c>
      <c r="F873" s="10" t="s">
        <v>9</v>
      </c>
      <c r="G873" s="3" t="s">
        <v>456</v>
      </c>
      <c r="H873">
        <v>4</v>
      </c>
      <c r="I873">
        <v>386</v>
      </c>
      <c r="J873">
        <v>1544</v>
      </c>
    </row>
    <row r="874" spans="1:10" x14ac:dyDescent="0.2">
      <c r="A874" s="3" t="s">
        <v>1337</v>
      </c>
      <c r="B874" s="5">
        <v>45096</v>
      </c>
      <c r="C874" s="3" t="s">
        <v>255</v>
      </c>
      <c r="D874" s="3" t="s">
        <v>1334</v>
      </c>
      <c r="E874" s="3" t="str">
        <f>VLOOKUP(ventas[[#This Row],[ID Producto]],productos[#All],3,FALSE)</f>
        <v>Abarrotes</v>
      </c>
      <c r="F874" s="9" t="s">
        <v>15</v>
      </c>
      <c r="G874" s="3" t="s">
        <v>463</v>
      </c>
      <c r="H874">
        <v>1</v>
      </c>
      <c r="I874">
        <v>386</v>
      </c>
      <c r="J874">
        <v>386</v>
      </c>
    </row>
    <row r="875" spans="1:10" x14ac:dyDescent="0.2">
      <c r="A875" s="3" t="s">
        <v>1338</v>
      </c>
      <c r="B875" s="5">
        <v>44988</v>
      </c>
      <c r="C875" s="3" t="s">
        <v>389</v>
      </c>
      <c r="D875" s="3" t="s">
        <v>1334</v>
      </c>
      <c r="E875" s="3" t="str">
        <f>VLOOKUP(ventas[[#This Row],[ID Producto]],productos[#All],3,FALSE)</f>
        <v>Abarrotes</v>
      </c>
      <c r="F875" s="9" t="s">
        <v>9</v>
      </c>
      <c r="G875" s="3" t="s">
        <v>453</v>
      </c>
      <c r="H875">
        <v>9</v>
      </c>
      <c r="I875">
        <v>386</v>
      </c>
      <c r="J875">
        <v>3474</v>
      </c>
    </row>
    <row r="876" spans="1:10" x14ac:dyDescent="0.2">
      <c r="A876" s="3" t="s">
        <v>1339</v>
      </c>
      <c r="B876" s="5">
        <v>45054</v>
      </c>
      <c r="C876" s="3" t="s">
        <v>231</v>
      </c>
      <c r="D876" s="3" t="s">
        <v>1334</v>
      </c>
      <c r="E876" s="3" t="str">
        <f>VLOOKUP(ventas[[#This Row],[ID Producto]],productos[#All],3,FALSE)</f>
        <v>Abarrotes</v>
      </c>
      <c r="F876" s="9" t="s">
        <v>11</v>
      </c>
      <c r="G876" s="3" t="s">
        <v>456</v>
      </c>
      <c r="H876">
        <v>1</v>
      </c>
      <c r="I876">
        <v>386</v>
      </c>
      <c r="J876">
        <v>386</v>
      </c>
    </row>
    <row r="877" spans="1:10" x14ac:dyDescent="0.2">
      <c r="A877" s="3" t="s">
        <v>1340</v>
      </c>
      <c r="B877" s="5">
        <v>45098</v>
      </c>
      <c r="C877" s="3" t="s">
        <v>303</v>
      </c>
      <c r="D877" s="3" t="s">
        <v>1334</v>
      </c>
      <c r="E877" s="3" t="str">
        <f>VLOOKUP(ventas[[#This Row],[ID Producto]],productos[#All],3,FALSE)</f>
        <v>Abarrotes</v>
      </c>
      <c r="F877" s="10" t="s">
        <v>9</v>
      </c>
      <c r="G877" s="3" t="s">
        <v>453</v>
      </c>
      <c r="H877">
        <v>9</v>
      </c>
      <c r="I877">
        <v>386</v>
      </c>
      <c r="J877">
        <v>3474</v>
      </c>
    </row>
    <row r="878" spans="1:10" x14ac:dyDescent="0.2">
      <c r="A878" s="3" t="s">
        <v>1341</v>
      </c>
      <c r="B878" s="5">
        <v>45129</v>
      </c>
      <c r="C878" s="3" t="s">
        <v>351</v>
      </c>
      <c r="D878" s="3" t="s">
        <v>1334</v>
      </c>
      <c r="E878" s="3" t="str">
        <f>VLOOKUP(ventas[[#This Row],[ID Producto]],productos[#All],3,FALSE)</f>
        <v>Abarrotes</v>
      </c>
      <c r="F878" s="10" t="s">
        <v>9</v>
      </c>
      <c r="G878" s="3" t="s">
        <v>456</v>
      </c>
      <c r="H878">
        <v>1</v>
      </c>
      <c r="I878">
        <v>386</v>
      </c>
      <c r="J878">
        <v>386</v>
      </c>
    </row>
    <row r="879" spans="1:10" x14ac:dyDescent="0.2">
      <c r="A879" s="3" t="s">
        <v>1342</v>
      </c>
      <c r="B879" s="5">
        <v>45024</v>
      </c>
      <c r="C879" s="3" t="s">
        <v>401</v>
      </c>
      <c r="D879" s="3" t="s">
        <v>1334</v>
      </c>
      <c r="E879" s="3" t="str">
        <f>VLOOKUP(ventas[[#This Row],[ID Producto]],productos[#All],3,FALSE)</f>
        <v>Abarrotes</v>
      </c>
      <c r="F879" s="9" t="s">
        <v>15</v>
      </c>
      <c r="G879" s="3" t="s">
        <v>456</v>
      </c>
      <c r="H879">
        <v>4</v>
      </c>
      <c r="I879">
        <v>386</v>
      </c>
      <c r="J879">
        <v>1544</v>
      </c>
    </row>
    <row r="880" spans="1:10" x14ac:dyDescent="0.2">
      <c r="A880" s="3" t="s">
        <v>1343</v>
      </c>
      <c r="B880" s="5">
        <v>45252</v>
      </c>
      <c r="C880" s="3" t="s">
        <v>445</v>
      </c>
      <c r="D880" s="3" t="s">
        <v>1334</v>
      </c>
      <c r="E880" s="3" t="str">
        <f>VLOOKUP(ventas[[#This Row],[ID Producto]],productos[#All],3,FALSE)</f>
        <v>Abarrotes</v>
      </c>
      <c r="F880" s="9" t="s">
        <v>9</v>
      </c>
      <c r="G880" s="3" t="s">
        <v>453</v>
      </c>
      <c r="H880">
        <v>5</v>
      </c>
      <c r="I880">
        <v>386</v>
      </c>
      <c r="J880">
        <v>193</v>
      </c>
    </row>
    <row r="881" spans="1:10" x14ac:dyDescent="0.2">
      <c r="A881" s="3" t="s">
        <v>1344</v>
      </c>
      <c r="B881" s="5">
        <v>45264</v>
      </c>
      <c r="C881" s="3" t="s">
        <v>47</v>
      </c>
      <c r="D881" s="3" t="s">
        <v>1334</v>
      </c>
      <c r="E881" s="3" t="str">
        <f>VLOOKUP(ventas[[#This Row],[ID Producto]],productos[#All],3,FALSE)</f>
        <v>Abarrotes</v>
      </c>
      <c r="F881" s="9" t="s">
        <v>11</v>
      </c>
      <c r="G881" s="3" t="s">
        <v>456</v>
      </c>
      <c r="H881">
        <v>1</v>
      </c>
      <c r="I881">
        <v>386</v>
      </c>
      <c r="J881">
        <v>386</v>
      </c>
    </row>
    <row r="882" spans="1:10" x14ac:dyDescent="0.2">
      <c r="A882" s="3" t="s">
        <v>1345</v>
      </c>
      <c r="B882" s="5">
        <v>45025</v>
      </c>
      <c r="C882" s="3" t="s">
        <v>111</v>
      </c>
      <c r="D882" s="3" t="s">
        <v>1334</v>
      </c>
      <c r="E882" s="3" t="str">
        <f>VLOOKUP(ventas[[#This Row],[ID Producto]],productos[#All],3,FALSE)</f>
        <v>Abarrotes</v>
      </c>
      <c r="F882" s="10" t="s">
        <v>9</v>
      </c>
      <c r="G882" s="3" t="s">
        <v>456</v>
      </c>
      <c r="H882">
        <v>1</v>
      </c>
      <c r="I882">
        <v>386</v>
      </c>
      <c r="J882">
        <v>386</v>
      </c>
    </row>
    <row r="883" spans="1:10" x14ac:dyDescent="0.2">
      <c r="A883" s="3" t="s">
        <v>1346</v>
      </c>
      <c r="B883" s="5">
        <v>45275</v>
      </c>
      <c r="C883" s="3" t="s">
        <v>111</v>
      </c>
      <c r="D883" s="3" t="s">
        <v>1334</v>
      </c>
      <c r="E883" s="3" t="str">
        <f>VLOOKUP(ventas[[#This Row],[ID Producto]],productos[#All],3,FALSE)</f>
        <v>Abarrotes</v>
      </c>
      <c r="F883" s="10" t="s">
        <v>9</v>
      </c>
      <c r="G883" s="3" t="s">
        <v>463</v>
      </c>
      <c r="H883">
        <v>9</v>
      </c>
      <c r="I883">
        <v>386</v>
      </c>
      <c r="J883">
        <v>3474</v>
      </c>
    </row>
    <row r="884" spans="1:10" x14ac:dyDescent="0.2">
      <c r="A884" s="3" t="s">
        <v>1347</v>
      </c>
      <c r="B884" s="5">
        <v>44977</v>
      </c>
      <c r="C884" s="3" t="s">
        <v>139</v>
      </c>
      <c r="D884" s="3" t="s">
        <v>1334</v>
      </c>
      <c r="E884" s="3" t="str">
        <f>VLOOKUP(ventas[[#This Row],[ID Producto]],productos[#All],3,FALSE)</f>
        <v>Abarrotes</v>
      </c>
      <c r="F884" s="9" t="s">
        <v>15</v>
      </c>
      <c r="G884" s="3" t="s">
        <v>456</v>
      </c>
      <c r="H884">
        <v>3</v>
      </c>
      <c r="I884">
        <v>386</v>
      </c>
      <c r="J884">
        <v>1158</v>
      </c>
    </row>
    <row r="885" spans="1:10" x14ac:dyDescent="0.2">
      <c r="A885" s="3" t="s">
        <v>1348</v>
      </c>
      <c r="B885" s="5">
        <v>45099</v>
      </c>
      <c r="C885" s="3" t="s">
        <v>131</v>
      </c>
      <c r="D885" s="3" t="s">
        <v>1334</v>
      </c>
      <c r="E885" s="3" t="str">
        <f>VLOOKUP(ventas[[#This Row],[ID Producto]],productos[#All],3,FALSE)</f>
        <v>Abarrotes</v>
      </c>
      <c r="F885" s="9" t="s">
        <v>9</v>
      </c>
      <c r="G885" s="3" t="s">
        <v>456</v>
      </c>
      <c r="H885">
        <v>2</v>
      </c>
      <c r="I885">
        <v>386</v>
      </c>
      <c r="J885">
        <v>772</v>
      </c>
    </row>
    <row r="886" spans="1:10" x14ac:dyDescent="0.2">
      <c r="A886" s="3" t="s">
        <v>1349</v>
      </c>
      <c r="B886" s="5">
        <v>45247</v>
      </c>
      <c r="C886" s="3" t="s">
        <v>129</v>
      </c>
      <c r="D886" s="3" t="s">
        <v>1334</v>
      </c>
      <c r="E886" s="3" t="str">
        <f>VLOOKUP(ventas[[#This Row],[ID Producto]],productos[#All],3,FALSE)</f>
        <v>Abarrotes</v>
      </c>
      <c r="F886" s="9" t="s">
        <v>11</v>
      </c>
      <c r="G886" s="3" t="s">
        <v>453</v>
      </c>
      <c r="H886">
        <v>1</v>
      </c>
      <c r="I886">
        <v>386</v>
      </c>
      <c r="J886">
        <v>386</v>
      </c>
    </row>
    <row r="887" spans="1:10" x14ac:dyDescent="0.2">
      <c r="A887" s="3" t="s">
        <v>1350</v>
      </c>
      <c r="B887" s="5">
        <v>45069</v>
      </c>
      <c r="C887" s="3" t="s">
        <v>81</v>
      </c>
      <c r="D887" s="3" t="s">
        <v>1334</v>
      </c>
      <c r="E887" s="3" t="str">
        <f>VLOOKUP(ventas[[#This Row],[ID Producto]],productos[#All],3,FALSE)</f>
        <v>Abarrotes</v>
      </c>
      <c r="F887" s="10" t="s">
        <v>9</v>
      </c>
      <c r="G887" s="3" t="s">
        <v>456</v>
      </c>
      <c r="H887">
        <v>2</v>
      </c>
      <c r="I887">
        <v>386</v>
      </c>
      <c r="J887">
        <v>772</v>
      </c>
    </row>
    <row r="888" spans="1:10" x14ac:dyDescent="0.2">
      <c r="A888" s="3" t="s">
        <v>1351</v>
      </c>
      <c r="B888" s="5">
        <v>45141</v>
      </c>
      <c r="C888" s="3" t="s">
        <v>221</v>
      </c>
      <c r="D888" s="3" t="s">
        <v>1334</v>
      </c>
      <c r="E888" s="3" t="str">
        <f>VLOOKUP(ventas[[#This Row],[ID Producto]],productos[#All],3,FALSE)</f>
        <v>Abarrotes</v>
      </c>
      <c r="F888" s="10" t="s">
        <v>9</v>
      </c>
      <c r="G888" s="3" t="s">
        <v>456</v>
      </c>
      <c r="H888">
        <v>3</v>
      </c>
      <c r="I888">
        <v>386</v>
      </c>
      <c r="J888">
        <v>1158</v>
      </c>
    </row>
    <row r="889" spans="1:10" x14ac:dyDescent="0.2">
      <c r="A889" s="3" t="s">
        <v>1352</v>
      </c>
      <c r="B889" s="5">
        <v>45252</v>
      </c>
      <c r="C889" s="3" t="s">
        <v>337</v>
      </c>
      <c r="D889" s="3" t="s">
        <v>1334</v>
      </c>
      <c r="E889" s="3" t="str">
        <f>VLOOKUP(ventas[[#This Row],[ID Producto]],productos[#All],3,FALSE)</f>
        <v>Abarrotes</v>
      </c>
      <c r="F889" s="9" t="s">
        <v>15</v>
      </c>
      <c r="G889" s="3" t="s">
        <v>453</v>
      </c>
      <c r="H889">
        <v>5</v>
      </c>
      <c r="I889">
        <v>386</v>
      </c>
      <c r="J889">
        <v>193</v>
      </c>
    </row>
    <row r="890" spans="1:10" x14ac:dyDescent="0.2">
      <c r="A890" s="3" t="s">
        <v>1353</v>
      </c>
      <c r="B890" s="5">
        <v>44927</v>
      </c>
      <c r="C890" s="3" t="s">
        <v>435</v>
      </c>
      <c r="D890" s="3" t="s">
        <v>1334</v>
      </c>
      <c r="E890" s="3" t="str">
        <f>VLOOKUP(ventas[[#This Row],[ID Producto]],productos[#All],3,FALSE)</f>
        <v>Abarrotes</v>
      </c>
      <c r="F890" s="9" t="s">
        <v>9</v>
      </c>
      <c r="G890" s="3" t="s">
        <v>456</v>
      </c>
      <c r="H890">
        <v>3</v>
      </c>
      <c r="I890">
        <v>386</v>
      </c>
      <c r="J890">
        <v>1158</v>
      </c>
    </row>
    <row r="891" spans="1:10" x14ac:dyDescent="0.2">
      <c r="A891" s="3" t="s">
        <v>1354</v>
      </c>
      <c r="B891" s="5">
        <v>45211</v>
      </c>
      <c r="C891" s="3" t="s">
        <v>135</v>
      </c>
      <c r="D891" s="3" t="s">
        <v>1334</v>
      </c>
      <c r="E891" s="3" t="str">
        <f>VLOOKUP(ventas[[#This Row],[ID Producto]],productos[#All],3,FALSE)</f>
        <v>Abarrotes</v>
      </c>
      <c r="F891" s="9" t="s">
        <v>11</v>
      </c>
      <c r="G891" s="3" t="s">
        <v>463</v>
      </c>
      <c r="H891">
        <v>9</v>
      </c>
      <c r="I891">
        <v>386</v>
      </c>
      <c r="J891">
        <v>3474</v>
      </c>
    </row>
    <row r="892" spans="1:10" x14ac:dyDescent="0.2">
      <c r="A892" s="3" t="s">
        <v>1355</v>
      </c>
      <c r="B892" s="5">
        <v>45105</v>
      </c>
      <c r="C892" s="3" t="s">
        <v>321</v>
      </c>
      <c r="D892" s="3" t="s">
        <v>1334</v>
      </c>
      <c r="E892" s="3" t="str">
        <f>VLOOKUP(ventas[[#This Row],[ID Producto]],productos[#All],3,FALSE)</f>
        <v>Abarrotes</v>
      </c>
      <c r="F892" s="10" t="s">
        <v>9</v>
      </c>
      <c r="G892" s="3" t="s">
        <v>456</v>
      </c>
      <c r="H892">
        <v>6</v>
      </c>
      <c r="I892">
        <v>386</v>
      </c>
      <c r="J892">
        <v>2316</v>
      </c>
    </row>
    <row r="893" spans="1:10" x14ac:dyDescent="0.2">
      <c r="A893" s="3" t="s">
        <v>1356</v>
      </c>
      <c r="B893" s="5">
        <v>45027</v>
      </c>
      <c r="C893" s="3" t="s">
        <v>277</v>
      </c>
      <c r="D893" s="3" t="s">
        <v>1334</v>
      </c>
      <c r="E893" s="3" t="str">
        <f>VLOOKUP(ventas[[#This Row],[ID Producto]],productos[#All],3,FALSE)</f>
        <v>Abarrotes</v>
      </c>
      <c r="F893" s="10" t="s">
        <v>9</v>
      </c>
      <c r="G893" s="3" t="s">
        <v>453</v>
      </c>
      <c r="H893">
        <v>8</v>
      </c>
      <c r="I893">
        <v>386</v>
      </c>
      <c r="J893">
        <v>3088</v>
      </c>
    </row>
    <row r="894" spans="1:10" x14ac:dyDescent="0.2">
      <c r="A894" s="3" t="s">
        <v>1357</v>
      </c>
      <c r="B894" s="5">
        <v>44939</v>
      </c>
      <c r="C894" s="3" t="s">
        <v>239</v>
      </c>
      <c r="D894" s="3" t="s">
        <v>1334</v>
      </c>
      <c r="E894" s="3" t="str">
        <f>VLOOKUP(ventas[[#This Row],[ID Producto]],productos[#All],3,FALSE)</f>
        <v>Abarrotes</v>
      </c>
      <c r="F894" s="9" t="s">
        <v>15</v>
      </c>
      <c r="G894" s="3" t="s">
        <v>463</v>
      </c>
      <c r="H894">
        <v>6</v>
      </c>
      <c r="I894">
        <v>386</v>
      </c>
      <c r="J894">
        <v>2316</v>
      </c>
    </row>
    <row r="895" spans="1:10" x14ac:dyDescent="0.2">
      <c r="A895" s="3" t="s">
        <v>1358</v>
      </c>
      <c r="B895" s="5">
        <v>45191</v>
      </c>
      <c r="C895" s="3" t="s">
        <v>177</v>
      </c>
      <c r="D895" s="3" t="s">
        <v>1334</v>
      </c>
      <c r="E895" s="3" t="str">
        <f>VLOOKUP(ventas[[#This Row],[ID Producto]],productos[#All],3,FALSE)</f>
        <v>Abarrotes</v>
      </c>
      <c r="F895" s="9" t="s">
        <v>9</v>
      </c>
      <c r="G895" s="3" t="s">
        <v>463</v>
      </c>
      <c r="H895">
        <v>9</v>
      </c>
      <c r="I895">
        <v>386</v>
      </c>
      <c r="J895">
        <v>3474</v>
      </c>
    </row>
    <row r="896" spans="1:10" x14ac:dyDescent="0.2">
      <c r="A896" s="3" t="s">
        <v>1359</v>
      </c>
      <c r="B896" s="5">
        <v>45062</v>
      </c>
      <c r="C896" s="3" t="s">
        <v>281</v>
      </c>
      <c r="D896" s="3" t="s">
        <v>1334</v>
      </c>
      <c r="E896" s="3" t="str">
        <f>VLOOKUP(ventas[[#This Row],[ID Producto]],productos[#All],3,FALSE)</f>
        <v>Abarrotes</v>
      </c>
      <c r="F896" s="9" t="s">
        <v>11</v>
      </c>
      <c r="G896" s="3" t="s">
        <v>463</v>
      </c>
      <c r="H896">
        <v>8</v>
      </c>
      <c r="I896">
        <v>386</v>
      </c>
      <c r="J896">
        <v>3088</v>
      </c>
    </row>
    <row r="897" spans="1:10" x14ac:dyDescent="0.2">
      <c r="A897" s="3" t="s">
        <v>1360</v>
      </c>
      <c r="B897" s="5">
        <v>45099</v>
      </c>
      <c r="C897" s="3" t="s">
        <v>211</v>
      </c>
      <c r="D897" s="3" t="s">
        <v>1334</v>
      </c>
      <c r="E897" s="3" t="str">
        <f>VLOOKUP(ventas[[#This Row],[ID Producto]],productos[#All],3,FALSE)</f>
        <v>Abarrotes</v>
      </c>
      <c r="F897" s="10" t="s">
        <v>9</v>
      </c>
      <c r="G897" s="3" t="s">
        <v>463</v>
      </c>
      <c r="H897">
        <v>7</v>
      </c>
      <c r="I897">
        <v>386</v>
      </c>
      <c r="J897">
        <v>2702</v>
      </c>
    </row>
    <row r="898" spans="1:10" x14ac:dyDescent="0.2">
      <c r="A898" s="3" t="s">
        <v>1361</v>
      </c>
      <c r="B898" s="5">
        <v>45104</v>
      </c>
      <c r="C898" s="3" t="s">
        <v>127</v>
      </c>
      <c r="D898" s="3" t="s">
        <v>1334</v>
      </c>
      <c r="E898" s="3" t="str">
        <f>VLOOKUP(ventas[[#This Row],[ID Producto]],productos[#All],3,FALSE)</f>
        <v>Abarrotes</v>
      </c>
      <c r="F898" s="10" t="s">
        <v>9</v>
      </c>
      <c r="G898" s="3" t="s">
        <v>453</v>
      </c>
      <c r="H898">
        <v>5</v>
      </c>
      <c r="I898">
        <v>386</v>
      </c>
      <c r="J898">
        <v>193</v>
      </c>
    </row>
    <row r="899" spans="1:10" x14ac:dyDescent="0.2">
      <c r="A899" s="3" t="s">
        <v>1362</v>
      </c>
      <c r="B899" s="5">
        <v>45229</v>
      </c>
      <c r="C899" s="3" t="s">
        <v>387</v>
      </c>
      <c r="D899" s="3" t="s">
        <v>1334</v>
      </c>
      <c r="E899" s="3" t="str">
        <f>VLOOKUP(ventas[[#This Row],[ID Producto]],productos[#All],3,FALSE)</f>
        <v>Abarrotes</v>
      </c>
      <c r="F899" s="9" t="s">
        <v>15</v>
      </c>
      <c r="G899" s="3" t="s">
        <v>453</v>
      </c>
      <c r="H899">
        <v>4</v>
      </c>
      <c r="I899">
        <v>386</v>
      </c>
      <c r="J899">
        <v>1544</v>
      </c>
    </row>
    <row r="900" spans="1:10" x14ac:dyDescent="0.2">
      <c r="A900" s="3" t="s">
        <v>1363</v>
      </c>
      <c r="B900" s="5">
        <v>45165</v>
      </c>
      <c r="C900" s="3" t="s">
        <v>323</v>
      </c>
      <c r="D900" s="3" t="s">
        <v>1334</v>
      </c>
      <c r="E900" s="3" t="str">
        <f>VLOOKUP(ventas[[#This Row],[ID Producto]],productos[#All],3,FALSE)</f>
        <v>Abarrotes</v>
      </c>
      <c r="F900" s="9" t="s">
        <v>9</v>
      </c>
      <c r="G900" s="3" t="s">
        <v>456</v>
      </c>
      <c r="H900">
        <v>5</v>
      </c>
      <c r="I900">
        <v>386</v>
      </c>
      <c r="J900">
        <v>193</v>
      </c>
    </row>
    <row r="901" spans="1:10" x14ac:dyDescent="0.2">
      <c r="A901" s="3" t="s">
        <v>1364</v>
      </c>
      <c r="B901" s="5">
        <v>45011</v>
      </c>
      <c r="C901" s="3" t="s">
        <v>363</v>
      </c>
      <c r="D901" s="3" t="s">
        <v>1334</v>
      </c>
      <c r="E901" s="3" t="str">
        <f>VLOOKUP(ventas[[#This Row],[ID Producto]],productos[#All],3,FALSE)</f>
        <v>Abarrotes</v>
      </c>
      <c r="F901" s="9" t="s">
        <v>11</v>
      </c>
      <c r="G901" s="3" t="s">
        <v>456</v>
      </c>
      <c r="H901">
        <v>8</v>
      </c>
      <c r="I901">
        <v>386</v>
      </c>
      <c r="J901">
        <v>3088</v>
      </c>
    </row>
    <row r="902" spans="1:10" x14ac:dyDescent="0.2">
      <c r="A902" s="3" t="s">
        <v>1365</v>
      </c>
      <c r="B902" s="5">
        <v>45088</v>
      </c>
      <c r="C902" s="3" t="s">
        <v>71</v>
      </c>
      <c r="D902" s="3" t="s">
        <v>1334</v>
      </c>
      <c r="E902" s="3" t="str">
        <f>VLOOKUP(ventas[[#This Row],[ID Producto]],productos[#All],3,FALSE)</f>
        <v>Abarrotes</v>
      </c>
      <c r="F902" s="10" t="s">
        <v>9</v>
      </c>
      <c r="G902" s="3" t="s">
        <v>456</v>
      </c>
      <c r="H902">
        <v>4</v>
      </c>
      <c r="I902">
        <v>386</v>
      </c>
      <c r="J902">
        <v>1544</v>
      </c>
    </row>
    <row r="903" spans="1:10" x14ac:dyDescent="0.2">
      <c r="A903" s="3" t="s">
        <v>1366</v>
      </c>
      <c r="B903" s="5">
        <v>44992</v>
      </c>
      <c r="C903" s="3" t="s">
        <v>61</v>
      </c>
      <c r="D903" s="3" t="s">
        <v>1334</v>
      </c>
      <c r="E903" s="3" t="str">
        <f>VLOOKUP(ventas[[#This Row],[ID Producto]],productos[#All],3,FALSE)</f>
        <v>Abarrotes</v>
      </c>
      <c r="F903" s="10" t="s">
        <v>9</v>
      </c>
      <c r="G903" s="3" t="s">
        <v>453</v>
      </c>
      <c r="H903">
        <v>8</v>
      </c>
      <c r="I903">
        <v>386</v>
      </c>
      <c r="J903">
        <v>3088</v>
      </c>
    </row>
    <row r="904" spans="1:10" x14ac:dyDescent="0.2">
      <c r="A904" s="3" t="s">
        <v>1367</v>
      </c>
      <c r="B904" s="5">
        <v>45264</v>
      </c>
      <c r="C904" s="3" t="s">
        <v>163</v>
      </c>
      <c r="D904" s="3" t="s">
        <v>1334</v>
      </c>
      <c r="E904" s="3" t="str">
        <f>VLOOKUP(ventas[[#This Row],[ID Producto]],productos[#All],3,FALSE)</f>
        <v>Abarrotes</v>
      </c>
      <c r="F904" s="9" t="s">
        <v>15</v>
      </c>
      <c r="G904" s="3" t="s">
        <v>453</v>
      </c>
      <c r="H904">
        <v>2</v>
      </c>
      <c r="I904">
        <v>386</v>
      </c>
      <c r="J904">
        <v>772</v>
      </c>
    </row>
    <row r="905" spans="1:10" x14ac:dyDescent="0.2">
      <c r="A905" s="3" t="s">
        <v>1368</v>
      </c>
      <c r="B905" s="5">
        <v>45048</v>
      </c>
      <c r="C905" s="3" t="s">
        <v>71</v>
      </c>
      <c r="D905" s="3" t="s">
        <v>1334</v>
      </c>
      <c r="E905" s="3" t="str">
        <f>VLOOKUP(ventas[[#This Row],[ID Producto]],productos[#All],3,FALSE)</f>
        <v>Abarrotes</v>
      </c>
      <c r="F905" s="9" t="s">
        <v>9</v>
      </c>
      <c r="G905" s="3" t="s">
        <v>456</v>
      </c>
      <c r="H905">
        <v>9</v>
      </c>
      <c r="I905">
        <v>386</v>
      </c>
      <c r="J905">
        <v>3474</v>
      </c>
    </row>
    <row r="906" spans="1:10" x14ac:dyDescent="0.2">
      <c r="A906" s="3" t="s">
        <v>1369</v>
      </c>
      <c r="B906" s="5">
        <v>44977</v>
      </c>
      <c r="C906" s="3" t="s">
        <v>83</v>
      </c>
      <c r="D906" s="3" t="s">
        <v>1334</v>
      </c>
      <c r="E906" s="3" t="str">
        <f>VLOOKUP(ventas[[#This Row],[ID Producto]],productos[#All],3,FALSE)</f>
        <v>Abarrotes</v>
      </c>
      <c r="F906" s="9" t="s">
        <v>11</v>
      </c>
      <c r="G906" s="3" t="s">
        <v>463</v>
      </c>
      <c r="H906">
        <v>7</v>
      </c>
      <c r="I906">
        <v>386</v>
      </c>
      <c r="J906">
        <v>2702</v>
      </c>
    </row>
    <row r="907" spans="1:10" x14ac:dyDescent="0.2">
      <c r="A907" s="3" t="s">
        <v>1370</v>
      </c>
      <c r="B907" s="5">
        <v>45047</v>
      </c>
      <c r="C907" s="3" t="s">
        <v>291</v>
      </c>
      <c r="D907" s="3" t="s">
        <v>1334</v>
      </c>
      <c r="E907" s="3" t="str">
        <f>VLOOKUP(ventas[[#This Row],[ID Producto]],productos[#All],3,FALSE)</f>
        <v>Abarrotes</v>
      </c>
      <c r="F907" s="10" t="s">
        <v>9</v>
      </c>
      <c r="G907" s="3" t="s">
        <v>456</v>
      </c>
      <c r="H907">
        <v>7</v>
      </c>
      <c r="I907">
        <v>386</v>
      </c>
      <c r="J907">
        <v>2702</v>
      </c>
    </row>
    <row r="908" spans="1:10" x14ac:dyDescent="0.2">
      <c r="A908" s="3" t="s">
        <v>1371</v>
      </c>
      <c r="B908" s="5">
        <v>45165</v>
      </c>
      <c r="C908" s="3" t="s">
        <v>405</v>
      </c>
      <c r="D908" s="3" t="s">
        <v>1334</v>
      </c>
      <c r="E908" s="3" t="str">
        <f>VLOOKUP(ventas[[#This Row],[ID Producto]],productos[#All],3,FALSE)</f>
        <v>Abarrotes</v>
      </c>
      <c r="F908" s="10" t="s">
        <v>9</v>
      </c>
      <c r="G908" s="3" t="s">
        <v>463</v>
      </c>
      <c r="H908">
        <v>1</v>
      </c>
      <c r="I908">
        <v>386</v>
      </c>
      <c r="J908">
        <v>386</v>
      </c>
    </row>
    <row r="909" spans="1:10" x14ac:dyDescent="0.2">
      <c r="A909" s="3" t="s">
        <v>1372</v>
      </c>
      <c r="B909" s="5">
        <v>44941</v>
      </c>
      <c r="C909" s="3" t="s">
        <v>199</v>
      </c>
      <c r="D909" s="3" t="s">
        <v>1334</v>
      </c>
      <c r="E909" s="3" t="str">
        <f>VLOOKUP(ventas[[#This Row],[ID Producto]],productos[#All],3,FALSE)</f>
        <v>Abarrotes</v>
      </c>
      <c r="F909" s="9" t="s">
        <v>15</v>
      </c>
      <c r="G909" s="3" t="s">
        <v>456</v>
      </c>
      <c r="H909">
        <v>9</v>
      </c>
      <c r="I909">
        <v>386</v>
      </c>
      <c r="J909">
        <v>3474</v>
      </c>
    </row>
    <row r="910" spans="1:10" x14ac:dyDescent="0.2">
      <c r="A910" s="3" t="s">
        <v>1373</v>
      </c>
      <c r="B910" s="5">
        <v>45118</v>
      </c>
      <c r="C910" s="3" t="s">
        <v>289</v>
      </c>
      <c r="D910" s="3" t="s">
        <v>1334</v>
      </c>
      <c r="E910" s="3" t="str">
        <f>VLOOKUP(ventas[[#This Row],[ID Producto]],productos[#All],3,FALSE)</f>
        <v>Abarrotes</v>
      </c>
      <c r="F910" s="9" t="s">
        <v>9</v>
      </c>
      <c r="G910" s="3" t="s">
        <v>463</v>
      </c>
      <c r="H910">
        <v>5</v>
      </c>
      <c r="I910">
        <v>386</v>
      </c>
      <c r="J910">
        <v>193</v>
      </c>
    </row>
    <row r="911" spans="1:10" x14ac:dyDescent="0.2">
      <c r="A911" s="3" t="s">
        <v>1374</v>
      </c>
      <c r="B911" s="5">
        <v>45237</v>
      </c>
      <c r="C911" s="3" t="s">
        <v>269</v>
      </c>
      <c r="D911" s="3" t="s">
        <v>1334</v>
      </c>
      <c r="E911" s="3" t="str">
        <f>VLOOKUP(ventas[[#This Row],[ID Producto]],productos[#All],3,FALSE)</f>
        <v>Abarrotes</v>
      </c>
      <c r="F911" s="9" t="s">
        <v>11</v>
      </c>
      <c r="G911" s="3" t="s">
        <v>453</v>
      </c>
      <c r="H911">
        <v>3</v>
      </c>
      <c r="I911">
        <v>386</v>
      </c>
      <c r="J911">
        <v>1158</v>
      </c>
    </row>
    <row r="912" spans="1:10" x14ac:dyDescent="0.2">
      <c r="A912" s="3" t="s">
        <v>1375</v>
      </c>
      <c r="B912" s="5">
        <v>45248</v>
      </c>
      <c r="C912" s="3" t="s">
        <v>53</v>
      </c>
      <c r="D912" s="3" t="s">
        <v>1334</v>
      </c>
      <c r="E912" s="3" t="str">
        <f>VLOOKUP(ventas[[#This Row],[ID Producto]],productos[#All],3,FALSE)</f>
        <v>Abarrotes</v>
      </c>
      <c r="F912" s="10" t="s">
        <v>9</v>
      </c>
      <c r="G912" s="3" t="s">
        <v>453</v>
      </c>
      <c r="H912">
        <v>3</v>
      </c>
      <c r="I912">
        <v>386</v>
      </c>
      <c r="J912">
        <v>1158</v>
      </c>
    </row>
    <row r="913" spans="1:10" x14ac:dyDescent="0.2">
      <c r="A913" s="3" t="s">
        <v>1376</v>
      </c>
      <c r="B913" s="5">
        <v>44952</v>
      </c>
      <c r="C913" s="3" t="s">
        <v>291</v>
      </c>
      <c r="D913" s="3" t="s">
        <v>1334</v>
      </c>
      <c r="E913" s="3" t="str">
        <f>VLOOKUP(ventas[[#This Row],[ID Producto]],productos[#All],3,FALSE)</f>
        <v>Abarrotes</v>
      </c>
      <c r="F913" s="10" t="s">
        <v>9</v>
      </c>
      <c r="G913" s="3" t="s">
        <v>456</v>
      </c>
      <c r="H913">
        <v>6</v>
      </c>
      <c r="I913">
        <v>386</v>
      </c>
      <c r="J913">
        <v>2316</v>
      </c>
    </row>
    <row r="914" spans="1:10" x14ac:dyDescent="0.2">
      <c r="A914" s="3" t="s">
        <v>1377</v>
      </c>
      <c r="B914" s="5">
        <v>45039</v>
      </c>
      <c r="C914" s="3" t="s">
        <v>135</v>
      </c>
      <c r="D914" s="3" t="s">
        <v>1334</v>
      </c>
      <c r="E914" s="3" t="str">
        <f>VLOOKUP(ventas[[#This Row],[ID Producto]],productos[#All],3,FALSE)</f>
        <v>Abarrotes</v>
      </c>
      <c r="F914" s="9" t="s">
        <v>15</v>
      </c>
      <c r="G914" s="3" t="s">
        <v>463</v>
      </c>
      <c r="H914">
        <v>5</v>
      </c>
      <c r="I914">
        <v>386</v>
      </c>
      <c r="J914">
        <v>193</v>
      </c>
    </row>
    <row r="915" spans="1:10" x14ac:dyDescent="0.2">
      <c r="A915" s="3" t="s">
        <v>1378</v>
      </c>
      <c r="B915" s="5">
        <v>45233</v>
      </c>
      <c r="C915" s="3" t="s">
        <v>167</v>
      </c>
      <c r="D915" s="3" t="s">
        <v>1379</v>
      </c>
      <c r="E915" s="3" t="str">
        <f>VLOOKUP(ventas[[#This Row],[ID Producto]],productos[#All],3,FALSE)</f>
        <v>Carnes</v>
      </c>
      <c r="F915" s="9" t="s">
        <v>9</v>
      </c>
      <c r="G915" s="3" t="s">
        <v>463</v>
      </c>
      <c r="H915">
        <v>4</v>
      </c>
      <c r="I915">
        <v>1846</v>
      </c>
      <c r="J915">
        <v>7384</v>
      </c>
    </row>
    <row r="916" spans="1:10" x14ac:dyDescent="0.2">
      <c r="A916" s="3" t="s">
        <v>1380</v>
      </c>
      <c r="B916" s="5">
        <v>45061</v>
      </c>
      <c r="C916" s="3" t="s">
        <v>175</v>
      </c>
      <c r="D916" s="3" t="s">
        <v>1379</v>
      </c>
      <c r="E916" s="3" t="str">
        <f>VLOOKUP(ventas[[#This Row],[ID Producto]],productos[#All],3,FALSE)</f>
        <v>Carnes</v>
      </c>
      <c r="F916" s="9" t="s">
        <v>11</v>
      </c>
      <c r="G916" s="3" t="s">
        <v>453</v>
      </c>
      <c r="H916">
        <v>4</v>
      </c>
      <c r="I916">
        <v>1846</v>
      </c>
      <c r="J916">
        <v>7384</v>
      </c>
    </row>
    <row r="917" spans="1:10" x14ac:dyDescent="0.2">
      <c r="A917" s="3" t="s">
        <v>1381</v>
      </c>
      <c r="B917" s="5">
        <v>45168</v>
      </c>
      <c r="C917" s="3" t="s">
        <v>117</v>
      </c>
      <c r="D917" s="3" t="s">
        <v>1379</v>
      </c>
      <c r="E917" s="3" t="str">
        <f>VLOOKUP(ventas[[#This Row],[ID Producto]],productos[#All],3,FALSE)</f>
        <v>Carnes</v>
      </c>
      <c r="F917" s="10" t="s">
        <v>9</v>
      </c>
      <c r="G917" s="3" t="s">
        <v>463</v>
      </c>
      <c r="H917">
        <v>4</v>
      </c>
      <c r="I917">
        <v>1846</v>
      </c>
      <c r="J917">
        <v>7384</v>
      </c>
    </row>
    <row r="918" spans="1:10" x14ac:dyDescent="0.2">
      <c r="A918" s="3" t="s">
        <v>1382</v>
      </c>
      <c r="B918" s="5">
        <v>45088</v>
      </c>
      <c r="C918" s="3" t="s">
        <v>297</v>
      </c>
      <c r="D918" s="3" t="s">
        <v>1379</v>
      </c>
      <c r="E918" s="3" t="str">
        <f>VLOOKUP(ventas[[#This Row],[ID Producto]],productos[#All],3,FALSE)</f>
        <v>Carnes</v>
      </c>
      <c r="F918" s="10" t="s">
        <v>9</v>
      </c>
      <c r="G918" s="3" t="s">
        <v>456</v>
      </c>
      <c r="H918">
        <v>4</v>
      </c>
      <c r="I918">
        <v>1846</v>
      </c>
      <c r="J918">
        <v>7384</v>
      </c>
    </row>
    <row r="919" spans="1:10" x14ac:dyDescent="0.2">
      <c r="A919" s="3" t="s">
        <v>1383</v>
      </c>
      <c r="B919" s="5">
        <v>45062</v>
      </c>
      <c r="C919" s="3" t="s">
        <v>361</v>
      </c>
      <c r="D919" s="3" t="s">
        <v>1379</v>
      </c>
      <c r="E919" s="3" t="str">
        <f>VLOOKUP(ventas[[#This Row],[ID Producto]],productos[#All],3,FALSE)</f>
        <v>Carnes</v>
      </c>
      <c r="F919" s="9" t="s">
        <v>15</v>
      </c>
      <c r="G919" s="3" t="s">
        <v>463</v>
      </c>
      <c r="H919">
        <v>8</v>
      </c>
      <c r="I919">
        <v>1846</v>
      </c>
      <c r="J919">
        <v>14768</v>
      </c>
    </row>
    <row r="920" spans="1:10" x14ac:dyDescent="0.2">
      <c r="A920" s="3" t="s">
        <v>1384</v>
      </c>
      <c r="B920" s="5">
        <v>45194</v>
      </c>
      <c r="C920" s="3" t="s">
        <v>195</v>
      </c>
      <c r="D920" s="3" t="s">
        <v>1379</v>
      </c>
      <c r="E920" s="3" t="str">
        <f>VLOOKUP(ventas[[#This Row],[ID Producto]],productos[#All],3,FALSE)</f>
        <v>Carnes</v>
      </c>
      <c r="F920" s="9" t="s">
        <v>9</v>
      </c>
      <c r="G920" s="3" t="s">
        <v>453</v>
      </c>
      <c r="H920">
        <v>8</v>
      </c>
      <c r="I920">
        <v>1846</v>
      </c>
      <c r="J920">
        <v>14768</v>
      </c>
    </row>
    <row r="921" spans="1:10" x14ac:dyDescent="0.2">
      <c r="A921" s="3" t="s">
        <v>1385</v>
      </c>
      <c r="B921" s="5">
        <v>45113</v>
      </c>
      <c r="C921" s="3" t="s">
        <v>327</v>
      </c>
      <c r="D921" s="3" t="s">
        <v>1379</v>
      </c>
      <c r="E921" s="3" t="str">
        <f>VLOOKUP(ventas[[#This Row],[ID Producto]],productos[#All],3,FALSE)</f>
        <v>Carnes</v>
      </c>
      <c r="F921" s="9" t="s">
        <v>11</v>
      </c>
      <c r="G921" s="3" t="s">
        <v>456</v>
      </c>
      <c r="H921">
        <v>8</v>
      </c>
      <c r="I921">
        <v>1846</v>
      </c>
      <c r="J921">
        <v>14768</v>
      </c>
    </row>
    <row r="922" spans="1:10" x14ac:dyDescent="0.2">
      <c r="A922" s="3" t="s">
        <v>1386</v>
      </c>
      <c r="B922" s="5">
        <v>44971</v>
      </c>
      <c r="C922" s="3" t="s">
        <v>167</v>
      </c>
      <c r="D922" s="3" t="s">
        <v>1379</v>
      </c>
      <c r="E922" s="3" t="str">
        <f>VLOOKUP(ventas[[#This Row],[ID Producto]],productos[#All],3,FALSE)</f>
        <v>Carnes</v>
      </c>
      <c r="F922" s="10" t="s">
        <v>9</v>
      </c>
      <c r="G922" s="3" t="s">
        <v>453</v>
      </c>
      <c r="H922">
        <v>6</v>
      </c>
      <c r="I922">
        <v>1846</v>
      </c>
      <c r="J922">
        <v>11076</v>
      </c>
    </row>
    <row r="923" spans="1:10" x14ac:dyDescent="0.2">
      <c r="A923" s="3" t="s">
        <v>1387</v>
      </c>
      <c r="B923" s="5">
        <v>45185</v>
      </c>
      <c r="C923" s="3" t="s">
        <v>349</v>
      </c>
      <c r="D923" s="3" t="s">
        <v>1379</v>
      </c>
      <c r="E923" s="3" t="str">
        <f>VLOOKUP(ventas[[#This Row],[ID Producto]],productos[#All],3,FALSE)</f>
        <v>Carnes</v>
      </c>
      <c r="F923" s="10" t="s">
        <v>9</v>
      </c>
      <c r="G923" s="3" t="s">
        <v>463</v>
      </c>
      <c r="H923">
        <v>7</v>
      </c>
      <c r="I923">
        <v>1846</v>
      </c>
      <c r="J923">
        <v>12922</v>
      </c>
    </row>
    <row r="924" spans="1:10" x14ac:dyDescent="0.2">
      <c r="A924" s="3" t="s">
        <v>1388</v>
      </c>
      <c r="B924" s="5">
        <v>45146</v>
      </c>
      <c r="C924" s="3" t="s">
        <v>227</v>
      </c>
      <c r="D924" s="3" t="s">
        <v>1379</v>
      </c>
      <c r="E924" s="3" t="str">
        <f>VLOOKUP(ventas[[#This Row],[ID Producto]],productos[#All],3,FALSE)</f>
        <v>Carnes</v>
      </c>
      <c r="F924" s="9" t="s">
        <v>15</v>
      </c>
      <c r="G924" s="3" t="s">
        <v>463</v>
      </c>
      <c r="H924">
        <v>8</v>
      </c>
      <c r="I924">
        <v>1846</v>
      </c>
      <c r="J924">
        <v>14768</v>
      </c>
    </row>
    <row r="925" spans="1:10" x14ac:dyDescent="0.2">
      <c r="A925" s="3" t="s">
        <v>1389</v>
      </c>
      <c r="B925" s="5">
        <v>44980</v>
      </c>
      <c r="C925" s="3" t="s">
        <v>197</v>
      </c>
      <c r="D925" s="3" t="s">
        <v>1379</v>
      </c>
      <c r="E925" s="3" t="str">
        <f>VLOOKUP(ventas[[#This Row],[ID Producto]],productos[#All],3,FALSE)</f>
        <v>Carnes</v>
      </c>
      <c r="F925" s="9" t="s">
        <v>9</v>
      </c>
      <c r="G925" s="3" t="s">
        <v>453</v>
      </c>
      <c r="H925">
        <v>1</v>
      </c>
      <c r="I925">
        <v>1846</v>
      </c>
      <c r="J925">
        <v>1846</v>
      </c>
    </row>
    <row r="926" spans="1:10" x14ac:dyDescent="0.2">
      <c r="A926" s="3" t="s">
        <v>1390</v>
      </c>
      <c r="B926" s="5">
        <v>45151</v>
      </c>
      <c r="C926" s="3" t="s">
        <v>317</v>
      </c>
      <c r="D926" s="3" t="s">
        <v>1379</v>
      </c>
      <c r="E926" s="3" t="str">
        <f>VLOOKUP(ventas[[#This Row],[ID Producto]],productos[#All],3,FALSE)</f>
        <v>Carnes</v>
      </c>
      <c r="F926" s="9" t="s">
        <v>11</v>
      </c>
      <c r="G926" s="3" t="s">
        <v>456</v>
      </c>
      <c r="H926">
        <v>4</v>
      </c>
      <c r="I926">
        <v>1846</v>
      </c>
      <c r="J926">
        <v>7384</v>
      </c>
    </row>
    <row r="927" spans="1:10" x14ac:dyDescent="0.2">
      <c r="A927" s="3" t="s">
        <v>1391</v>
      </c>
      <c r="B927" s="5">
        <v>45166</v>
      </c>
      <c r="C927" s="3" t="s">
        <v>173</v>
      </c>
      <c r="D927" s="3" t="s">
        <v>1379</v>
      </c>
      <c r="E927" s="3" t="str">
        <f>VLOOKUP(ventas[[#This Row],[ID Producto]],productos[#All],3,FALSE)</f>
        <v>Carnes</v>
      </c>
      <c r="F927" s="10" t="s">
        <v>9</v>
      </c>
      <c r="G927" s="3" t="s">
        <v>456</v>
      </c>
      <c r="H927">
        <v>7</v>
      </c>
      <c r="I927">
        <v>1846</v>
      </c>
      <c r="J927">
        <v>12922</v>
      </c>
    </row>
    <row r="928" spans="1:10" x14ac:dyDescent="0.2">
      <c r="A928" s="3" t="s">
        <v>1392</v>
      </c>
      <c r="B928" s="5">
        <v>45054</v>
      </c>
      <c r="C928" s="3" t="s">
        <v>145</v>
      </c>
      <c r="D928" s="3" t="s">
        <v>1379</v>
      </c>
      <c r="E928" s="3" t="str">
        <f>VLOOKUP(ventas[[#This Row],[ID Producto]],productos[#All],3,FALSE)</f>
        <v>Carnes</v>
      </c>
      <c r="F928" s="10" t="s">
        <v>9</v>
      </c>
      <c r="G928" s="3" t="s">
        <v>453</v>
      </c>
      <c r="H928">
        <v>4</v>
      </c>
      <c r="I928">
        <v>1846</v>
      </c>
      <c r="J928">
        <v>7384</v>
      </c>
    </row>
    <row r="929" spans="1:10" x14ac:dyDescent="0.2">
      <c r="A929" s="3" t="s">
        <v>1393</v>
      </c>
      <c r="B929" s="5">
        <v>45055</v>
      </c>
      <c r="C929" s="3" t="s">
        <v>405</v>
      </c>
      <c r="D929" s="3" t="s">
        <v>1379</v>
      </c>
      <c r="E929" s="3" t="str">
        <f>VLOOKUP(ventas[[#This Row],[ID Producto]],productos[#All],3,FALSE)</f>
        <v>Carnes</v>
      </c>
      <c r="F929" s="9" t="s">
        <v>15</v>
      </c>
      <c r="G929" s="3" t="s">
        <v>456</v>
      </c>
      <c r="H929">
        <v>5</v>
      </c>
      <c r="I929">
        <v>1846</v>
      </c>
      <c r="J929">
        <v>923</v>
      </c>
    </row>
    <row r="930" spans="1:10" x14ac:dyDescent="0.2">
      <c r="A930" s="3" t="s">
        <v>1394</v>
      </c>
      <c r="B930" s="5">
        <v>45210</v>
      </c>
      <c r="C930" s="3" t="s">
        <v>61</v>
      </c>
      <c r="D930" s="3" t="s">
        <v>1379</v>
      </c>
      <c r="E930" s="3" t="str">
        <f>VLOOKUP(ventas[[#This Row],[ID Producto]],productos[#All],3,FALSE)</f>
        <v>Carnes</v>
      </c>
      <c r="F930" s="9" t="s">
        <v>9</v>
      </c>
      <c r="G930" s="3" t="s">
        <v>453</v>
      </c>
      <c r="H930">
        <v>6</v>
      </c>
      <c r="I930">
        <v>1846</v>
      </c>
      <c r="J930">
        <v>11076</v>
      </c>
    </row>
    <row r="931" spans="1:10" x14ac:dyDescent="0.2">
      <c r="A931" s="3" t="s">
        <v>1395</v>
      </c>
      <c r="B931" s="5">
        <v>44932</v>
      </c>
      <c r="C931" s="3" t="s">
        <v>211</v>
      </c>
      <c r="D931" s="3" t="s">
        <v>1379</v>
      </c>
      <c r="E931" s="3" t="str">
        <f>VLOOKUP(ventas[[#This Row],[ID Producto]],productos[#All],3,FALSE)</f>
        <v>Carnes</v>
      </c>
      <c r="F931" s="9" t="s">
        <v>11</v>
      </c>
      <c r="G931" s="3" t="s">
        <v>453</v>
      </c>
      <c r="H931">
        <v>3</v>
      </c>
      <c r="I931">
        <v>1846</v>
      </c>
      <c r="J931">
        <v>5538</v>
      </c>
    </row>
    <row r="932" spans="1:10" x14ac:dyDescent="0.2">
      <c r="A932" s="3" t="s">
        <v>1396</v>
      </c>
      <c r="B932" s="5">
        <v>45107</v>
      </c>
      <c r="C932" s="3" t="s">
        <v>307</v>
      </c>
      <c r="D932" s="3" t="s">
        <v>1379</v>
      </c>
      <c r="E932" s="3" t="str">
        <f>VLOOKUP(ventas[[#This Row],[ID Producto]],productos[#All],3,FALSE)</f>
        <v>Carnes</v>
      </c>
      <c r="F932" s="10" t="s">
        <v>9</v>
      </c>
      <c r="G932" s="3" t="s">
        <v>463</v>
      </c>
      <c r="H932">
        <v>1</v>
      </c>
      <c r="I932">
        <v>1846</v>
      </c>
      <c r="J932">
        <v>1846</v>
      </c>
    </row>
    <row r="933" spans="1:10" x14ac:dyDescent="0.2">
      <c r="A933" s="3" t="s">
        <v>1397</v>
      </c>
      <c r="B933" s="5">
        <v>44979</v>
      </c>
      <c r="C933" s="3" t="s">
        <v>175</v>
      </c>
      <c r="D933" s="3" t="s">
        <v>1379</v>
      </c>
      <c r="E933" s="3" t="str">
        <f>VLOOKUP(ventas[[#This Row],[ID Producto]],productos[#All],3,FALSE)</f>
        <v>Carnes</v>
      </c>
      <c r="F933" s="10" t="s">
        <v>9</v>
      </c>
      <c r="G933" s="3" t="s">
        <v>453</v>
      </c>
      <c r="H933">
        <v>2</v>
      </c>
      <c r="I933">
        <v>1846</v>
      </c>
      <c r="J933">
        <v>3692</v>
      </c>
    </row>
    <row r="934" spans="1:10" x14ac:dyDescent="0.2">
      <c r="A934" s="3" t="s">
        <v>1398</v>
      </c>
      <c r="B934" s="5">
        <v>45055</v>
      </c>
      <c r="C934" s="3" t="s">
        <v>427</v>
      </c>
      <c r="D934" s="3" t="s">
        <v>1379</v>
      </c>
      <c r="E934" s="3" t="str">
        <f>VLOOKUP(ventas[[#This Row],[ID Producto]],productos[#All],3,FALSE)</f>
        <v>Carnes</v>
      </c>
      <c r="F934" s="9" t="s">
        <v>15</v>
      </c>
      <c r="G934" s="3" t="s">
        <v>453</v>
      </c>
      <c r="H934">
        <v>3</v>
      </c>
      <c r="I934">
        <v>1846</v>
      </c>
      <c r="J934">
        <v>5538</v>
      </c>
    </row>
    <row r="935" spans="1:10" x14ac:dyDescent="0.2">
      <c r="A935" s="3" t="s">
        <v>1399</v>
      </c>
      <c r="B935" s="5">
        <v>45022</v>
      </c>
      <c r="C935" s="3" t="s">
        <v>81</v>
      </c>
      <c r="D935" s="3" t="s">
        <v>1379</v>
      </c>
      <c r="E935" s="3" t="str">
        <f>VLOOKUP(ventas[[#This Row],[ID Producto]],productos[#All],3,FALSE)</f>
        <v>Carnes</v>
      </c>
      <c r="F935" s="9" t="s">
        <v>9</v>
      </c>
      <c r="G935" s="3" t="s">
        <v>463</v>
      </c>
      <c r="H935">
        <v>1</v>
      </c>
      <c r="I935">
        <v>1846</v>
      </c>
      <c r="J935">
        <v>1846</v>
      </c>
    </row>
    <row r="936" spans="1:10" x14ac:dyDescent="0.2">
      <c r="A936" s="3" t="s">
        <v>1400</v>
      </c>
      <c r="B936" s="5">
        <v>45118</v>
      </c>
      <c r="C936" s="3" t="s">
        <v>117</v>
      </c>
      <c r="D936" s="3" t="s">
        <v>1379</v>
      </c>
      <c r="E936" s="3" t="str">
        <f>VLOOKUP(ventas[[#This Row],[ID Producto]],productos[#All],3,FALSE)</f>
        <v>Carnes</v>
      </c>
      <c r="F936" s="9" t="s">
        <v>11</v>
      </c>
      <c r="G936" s="3" t="s">
        <v>456</v>
      </c>
      <c r="H936">
        <v>9</v>
      </c>
      <c r="I936">
        <v>1846</v>
      </c>
      <c r="J936">
        <v>16614</v>
      </c>
    </row>
    <row r="937" spans="1:10" x14ac:dyDescent="0.2">
      <c r="A937" s="3" t="s">
        <v>1401</v>
      </c>
      <c r="B937" s="5">
        <v>45070</v>
      </c>
      <c r="C937" s="3" t="s">
        <v>71</v>
      </c>
      <c r="D937" s="3" t="s">
        <v>1379</v>
      </c>
      <c r="E937" s="3" t="str">
        <f>VLOOKUP(ventas[[#This Row],[ID Producto]],productos[#All],3,FALSE)</f>
        <v>Carnes</v>
      </c>
      <c r="F937" s="10" t="s">
        <v>9</v>
      </c>
      <c r="G937" s="3" t="s">
        <v>463</v>
      </c>
      <c r="H937">
        <v>1</v>
      </c>
      <c r="I937">
        <v>1846</v>
      </c>
      <c r="J937">
        <v>1846</v>
      </c>
    </row>
    <row r="938" spans="1:10" x14ac:dyDescent="0.2">
      <c r="A938" s="3" t="s">
        <v>1402</v>
      </c>
      <c r="B938" s="5">
        <v>45111</v>
      </c>
      <c r="C938" s="3" t="s">
        <v>249</v>
      </c>
      <c r="D938" s="3" t="s">
        <v>1379</v>
      </c>
      <c r="E938" s="3" t="str">
        <f>VLOOKUP(ventas[[#This Row],[ID Producto]],productos[#All],3,FALSE)</f>
        <v>Carnes</v>
      </c>
      <c r="F938" s="10" t="s">
        <v>9</v>
      </c>
      <c r="G938" s="3" t="s">
        <v>463</v>
      </c>
      <c r="H938">
        <v>5</v>
      </c>
      <c r="I938">
        <v>1846</v>
      </c>
      <c r="J938">
        <v>923</v>
      </c>
    </row>
    <row r="939" spans="1:10" x14ac:dyDescent="0.2">
      <c r="A939" s="3" t="s">
        <v>1403</v>
      </c>
      <c r="B939" s="5">
        <v>45146</v>
      </c>
      <c r="C939" s="3" t="s">
        <v>421</v>
      </c>
      <c r="D939" s="3" t="s">
        <v>1379</v>
      </c>
      <c r="E939" s="3" t="str">
        <f>VLOOKUP(ventas[[#This Row],[ID Producto]],productos[#All],3,FALSE)</f>
        <v>Carnes</v>
      </c>
      <c r="F939" s="9" t="s">
        <v>15</v>
      </c>
      <c r="G939" s="3" t="s">
        <v>453</v>
      </c>
      <c r="H939">
        <v>6</v>
      </c>
      <c r="I939">
        <v>1846</v>
      </c>
      <c r="J939">
        <v>11076</v>
      </c>
    </row>
    <row r="940" spans="1:10" x14ac:dyDescent="0.2">
      <c r="A940" s="3" t="s">
        <v>1404</v>
      </c>
      <c r="B940" s="5">
        <v>44936</v>
      </c>
      <c r="C940" s="3" t="s">
        <v>443</v>
      </c>
      <c r="D940" s="3" t="s">
        <v>1379</v>
      </c>
      <c r="E940" s="3" t="str">
        <f>VLOOKUP(ventas[[#This Row],[ID Producto]],productos[#All],3,FALSE)</f>
        <v>Carnes</v>
      </c>
      <c r="F940" s="9" t="s">
        <v>9</v>
      </c>
      <c r="G940" s="3" t="s">
        <v>463</v>
      </c>
      <c r="H940">
        <v>7</v>
      </c>
      <c r="I940">
        <v>1846</v>
      </c>
      <c r="J940">
        <v>12922</v>
      </c>
    </row>
    <row r="941" spans="1:10" x14ac:dyDescent="0.2">
      <c r="A941" s="3" t="s">
        <v>1405</v>
      </c>
      <c r="B941" s="5">
        <v>45104</v>
      </c>
      <c r="C941" s="3" t="s">
        <v>205</v>
      </c>
      <c r="D941" s="3" t="s">
        <v>1379</v>
      </c>
      <c r="E941" s="3" t="str">
        <f>VLOOKUP(ventas[[#This Row],[ID Producto]],productos[#All],3,FALSE)</f>
        <v>Carnes</v>
      </c>
      <c r="F941" s="9" t="s">
        <v>11</v>
      </c>
      <c r="G941" s="3" t="s">
        <v>463</v>
      </c>
      <c r="H941">
        <v>7</v>
      </c>
      <c r="I941">
        <v>1846</v>
      </c>
      <c r="J941">
        <v>12922</v>
      </c>
    </row>
    <row r="942" spans="1:10" x14ac:dyDescent="0.2">
      <c r="A942" s="3" t="s">
        <v>1406</v>
      </c>
      <c r="B942" s="5">
        <v>45019</v>
      </c>
      <c r="C942" s="3" t="s">
        <v>121</v>
      </c>
      <c r="D942" s="3" t="s">
        <v>1379</v>
      </c>
      <c r="E942" s="3" t="str">
        <f>VLOOKUP(ventas[[#This Row],[ID Producto]],productos[#All],3,FALSE)</f>
        <v>Carnes</v>
      </c>
      <c r="F942" s="10" t="s">
        <v>9</v>
      </c>
      <c r="G942" s="3" t="s">
        <v>453</v>
      </c>
      <c r="H942">
        <v>1</v>
      </c>
      <c r="I942">
        <v>1846</v>
      </c>
      <c r="J942">
        <v>1846</v>
      </c>
    </row>
    <row r="943" spans="1:10" x14ac:dyDescent="0.2">
      <c r="A943" s="3" t="s">
        <v>1407</v>
      </c>
      <c r="B943" s="5">
        <v>44935</v>
      </c>
      <c r="C943" s="3" t="s">
        <v>173</v>
      </c>
      <c r="D943" s="3" t="s">
        <v>1379</v>
      </c>
      <c r="E943" s="3" t="str">
        <f>VLOOKUP(ventas[[#This Row],[ID Producto]],productos[#All],3,FALSE)</f>
        <v>Carnes</v>
      </c>
      <c r="F943" s="10" t="s">
        <v>9</v>
      </c>
      <c r="G943" s="3" t="s">
        <v>463</v>
      </c>
      <c r="H943">
        <v>1</v>
      </c>
      <c r="I943">
        <v>1846</v>
      </c>
      <c r="J943">
        <v>1846</v>
      </c>
    </row>
    <row r="944" spans="1:10" x14ac:dyDescent="0.2">
      <c r="A944" s="3" t="s">
        <v>1408</v>
      </c>
      <c r="B944" s="5">
        <v>45201</v>
      </c>
      <c r="C944" s="3" t="s">
        <v>141</v>
      </c>
      <c r="D944" s="3" t="s">
        <v>1379</v>
      </c>
      <c r="E944" s="3" t="str">
        <f>VLOOKUP(ventas[[#This Row],[ID Producto]],productos[#All],3,FALSE)</f>
        <v>Carnes</v>
      </c>
      <c r="F944" s="9" t="s">
        <v>15</v>
      </c>
      <c r="G944" s="3" t="s">
        <v>456</v>
      </c>
      <c r="H944">
        <v>6</v>
      </c>
      <c r="I944">
        <v>1846</v>
      </c>
      <c r="J944">
        <v>11076</v>
      </c>
    </row>
    <row r="945" spans="1:10" x14ac:dyDescent="0.2">
      <c r="A945" s="3" t="s">
        <v>1409</v>
      </c>
      <c r="B945" s="5">
        <v>45274</v>
      </c>
      <c r="C945" s="3" t="s">
        <v>183</v>
      </c>
      <c r="D945" s="3" t="s">
        <v>1379</v>
      </c>
      <c r="E945" s="3" t="str">
        <f>VLOOKUP(ventas[[#This Row],[ID Producto]],productos[#All],3,FALSE)</f>
        <v>Carnes</v>
      </c>
      <c r="F945" s="9" t="s">
        <v>9</v>
      </c>
      <c r="G945" s="3" t="s">
        <v>453</v>
      </c>
      <c r="H945">
        <v>1</v>
      </c>
      <c r="I945">
        <v>1846</v>
      </c>
      <c r="J945">
        <v>1846</v>
      </c>
    </row>
    <row r="946" spans="1:10" x14ac:dyDescent="0.2">
      <c r="A946" s="3" t="s">
        <v>1410</v>
      </c>
      <c r="B946" s="5">
        <v>44984</v>
      </c>
      <c r="C946" s="3" t="s">
        <v>415</v>
      </c>
      <c r="D946" s="3" t="s">
        <v>1379</v>
      </c>
      <c r="E946" s="3" t="str">
        <f>VLOOKUP(ventas[[#This Row],[ID Producto]],productos[#All],3,FALSE)</f>
        <v>Carnes</v>
      </c>
      <c r="F946" s="9" t="s">
        <v>11</v>
      </c>
      <c r="G946" s="3" t="s">
        <v>463</v>
      </c>
      <c r="H946">
        <v>5</v>
      </c>
      <c r="I946">
        <v>1846</v>
      </c>
      <c r="J946">
        <v>923</v>
      </c>
    </row>
    <row r="947" spans="1:10" x14ac:dyDescent="0.2">
      <c r="A947" s="3" t="s">
        <v>1411</v>
      </c>
      <c r="B947" s="5">
        <v>45178</v>
      </c>
      <c r="C947" s="3" t="s">
        <v>97</v>
      </c>
      <c r="D947" s="3" t="s">
        <v>1379</v>
      </c>
      <c r="E947" s="3" t="str">
        <f>VLOOKUP(ventas[[#This Row],[ID Producto]],productos[#All],3,FALSE)</f>
        <v>Carnes</v>
      </c>
      <c r="F947" s="10" t="s">
        <v>9</v>
      </c>
      <c r="G947" s="3" t="s">
        <v>456</v>
      </c>
      <c r="H947">
        <v>8</v>
      </c>
      <c r="I947">
        <v>1846</v>
      </c>
      <c r="J947">
        <v>14768</v>
      </c>
    </row>
    <row r="948" spans="1:10" x14ac:dyDescent="0.2">
      <c r="A948" s="3" t="s">
        <v>1412</v>
      </c>
      <c r="B948" s="5">
        <v>45090</v>
      </c>
      <c r="C948" s="3" t="s">
        <v>325</v>
      </c>
      <c r="D948" s="3" t="s">
        <v>1379</v>
      </c>
      <c r="E948" s="3" t="str">
        <f>VLOOKUP(ventas[[#This Row],[ID Producto]],productos[#All],3,FALSE)</f>
        <v>Carnes</v>
      </c>
      <c r="F948" s="10" t="s">
        <v>9</v>
      </c>
      <c r="G948" s="3" t="s">
        <v>456</v>
      </c>
      <c r="H948">
        <v>2</v>
      </c>
      <c r="I948">
        <v>1846</v>
      </c>
      <c r="J948">
        <v>3692</v>
      </c>
    </row>
    <row r="949" spans="1:10" x14ac:dyDescent="0.2">
      <c r="A949" s="3" t="s">
        <v>1413</v>
      </c>
      <c r="B949" s="5">
        <v>45179</v>
      </c>
      <c r="C949" s="3" t="s">
        <v>261</v>
      </c>
      <c r="D949" s="3" t="s">
        <v>1379</v>
      </c>
      <c r="E949" s="3" t="str">
        <f>VLOOKUP(ventas[[#This Row],[ID Producto]],productos[#All],3,FALSE)</f>
        <v>Carnes</v>
      </c>
      <c r="F949" s="9" t="s">
        <v>15</v>
      </c>
      <c r="G949" s="3" t="s">
        <v>456</v>
      </c>
      <c r="H949">
        <v>5</v>
      </c>
      <c r="I949">
        <v>1846</v>
      </c>
      <c r="J949">
        <v>923</v>
      </c>
    </row>
    <row r="950" spans="1:10" x14ac:dyDescent="0.2">
      <c r="A950" s="3" t="s">
        <v>1414</v>
      </c>
      <c r="B950" s="5">
        <v>45045</v>
      </c>
      <c r="C950" s="3" t="s">
        <v>137</v>
      </c>
      <c r="D950" s="3" t="s">
        <v>1379</v>
      </c>
      <c r="E950" s="3" t="str">
        <f>VLOOKUP(ventas[[#This Row],[ID Producto]],productos[#All],3,FALSE)</f>
        <v>Carnes</v>
      </c>
      <c r="F950" s="9" t="s">
        <v>9</v>
      </c>
      <c r="G950" s="3" t="s">
        <v>456</v>
      </c>
      <c r="H950">
        <v>6</v>
      </c>
      <c r="I950">
        <v>1846</v>
      </c>
      <c r="J950">
        <v>11076</v>
      </c>
    </row>
    <row r="951" spans="1:10" x14ac:dyDescent="0.2">
      <c r="A951" s="3" t="s">
        <v>1415</v>
      </c>
      <c r="B951" s="5">
        <v>45215</v>
      </c>
      <c r="C951" s="3" t="s">
        <v>163</v>
      </c>
      <c r="D951" s="3" t="s">
        <v>1379</v>
      </c>
      <c r="E951" s="3" t="str">
        <f>VLOOKUP(ventas[[#This Row],[ID Producto]],productos[#All],3,FALSE)</f>
        <v>Carnes</v>
      </c>
      <c r="F951" s="9" t="s">
        <v>11</v>
      </c>
      <c r="G951" s="3" t="s">
        <v>456</v>
      </c>
      <c r="H951">
        <v>2</v>
      </c>
      <c r="I951">
        <v>1846</v>
      </c>
      <c r="J951">
        <v>3692</v>
      </c>
    </row>
    <row r="952" spans="1:10" x14ac:dyDescent="0.2">
      <c r="A952" s="3" t="s">
        <v>1416</v>
      </c>
      <c r="B952" s="5">
        <v>45277</v>
      </c>
      <c r="C952" s="3" t="s">
        <v>273</v>
      </c>
      <c r="D952" s="3" t="s">
        <v>1379</v>
      </c>
      <c r="E952" s="3" t="str">
        <f>VLOOKUP(ventas[[#This Row],[ID Producto]],productos[#All],3,FALSE)</f>
        <v>Carnes</v>
      </c>
      <c r="F952" s="10" t="s">
        <v>9</v>
      </c>
      <c r="G952" s="3" t="s">
        <v>463</v>
      </c>
      <c r="H952">
        <v>2</v>
      </c>
      <c r="I952">
        <v>1846</v>
      </c>
      <c r="J952">
        <v>3692</v>
      </c>
    </row>
    <row r="953" spans="1:10" x14ac:dyDescent="0.2">
      <c r="A953" s="3" t="s">
        <v>1417</v>
      </c>
      <c r="B953" s="5">
        <v>45128</v>
      </c>
      <c r="C953" s="3" t="s">
        <v>265</v>
      </c>
      <c r="D953" s="3" t="s">
        <v>1379</v>
      </c>
      <c r="E953" s="3" t="str">
        <f>VLOOKUP(ventas[[#This Row],[ID Producto]],productos[#All],3,FALSE)</f>
        <v>Carnes</v>
      </c>
      <c r="F953" s="10" t="s">
        <v>9</v>
      </c>
      <c r="G953" s="3" t="s">
        <v>453</v>
      </c>
      <c r="H953">
        <v>4</v>
      </c>
      <c r="I953">
        <v>1846</v>
      </c>
      <c r="J953">
        <v>7384</v>
      </c>
    </row>
    <row r="954" spans="1:10" x14ac:dyDescent="0.2">
      <c r="A954" s="3" t="s">
        <v>1418</v>
      </c>
      <c r="B954" s="5">
        <v>44960</v>
      </c>
      <c r="C954" s="3" t="s">
        <v>91</v>
      </c>
      <c r="D954" s="3" t="s">
        <v>1379</v>
      </c>
      <c r="E954" s="3" t="str">
        <f>VLOOKUP(ventas[[#This Row],[ID Producto]],productos[#All],3,FALSE)</f>
        <v>Carnes</v>
      </c>
      <c r="F954" s="9" t="s">
        <v>15</v>
      </c>
      <c r="G954" s="3" t="s">
        <v>463</v>
      </c>
      <c r="H954">
        <v>8</v>
      </c>
      <c r="I954">
        <v>1846</v>
      </c>
      <c r="J954">
        <v>14768</v>
      </c>
    </row>
    <row r="955" spans="1:10" x14ac:dyDescent="0.2">
      <c r="A955" s="3" t="s">
        <v>1419</v>
      </c>
      <c r="B955" s="5">
        <v>45152</v>
      </c>
      <c r="C955" s="3" t="s">
        <v>269</v>
      </c>
      <c r="D955" s="3" t="s">
        <v>1379</v>
      </c>
      <c r="E955" s="3" t="str">
        <f>VLOOKUP(ventas[[#This Row],[ID Producto]],productos[#All],3,FALSE)</f>
        <v>Carnes</v>
      </c>
      <c r="F955" s="9" t="s">
        <v>9</v>
      </c>
      <c r="G955" s="3" t="s">
        <v>456</v>
      </c>
      <c r="H955">
        <v>7</v>
      </c>
      <c r="I955">
        <v>1846</v>
      </c>
      <c r="J955">
        <v>12922</v>
      </c>
    </row>
    <row r="956" spans="1:10" x14ac:dyDescent="0.2">
      <c r="A956" s="3" t="s">
        <v>1420</v>
      </c>
      <c r="B956" s="5">
        <v>45256</v>
      </c>
      <c r="C956" s="3" t="s">
        <v>215</v>
      </c>
      <c r="D956" s="3" t="s">
        <v>1379</v>
      </c>
      <c r="E956" s="3" t="str">
        <f>VLOOKUP(ventas[[#This Row],[ID Producto]],productos[#All],3,FALSE)</f>
        <v>Carnes</v>
      </c>
      <c r="F956" s="9" t="s">
        <v>11</v>
      </c>
      <c r="G956" s="3" t="s">
        <v>456</v>
      </c>
      <c r="H956">
        <v>8</v>
      </c>
      <c r="I956">
        <v>1846</v>
      </c>
      <c r="J956">
        <v>14768</v>
      </c>
    </row>
    <row r="957" spans="1:10" x14ac:dyDescent="0.2">
      <c r="A957" s="3" t="s">
        <v>1421</v>
      </c>
      <c r="B957" s="5">
        <v>45286</v>
      </c>
      <c r="C957" s="3" t="s">
        <v>163</v>
      </c>
      <c r="D957" s="3" t="s">
        <v>1379</v>
      </c>
      <c r="E957" s="3" t="str">
        <f>VLOOKUP(ventas[[#This Row],[ID Producto]],productos[#All],3,FALSE)</f>
        <v>Carnes</v>
      </c>
      <c r="F957" s="10" t="s">
        <v>9</v>
      </c>
      <c r="G957" s="3" t="s">
        <v>456</v>
      </c>
      <c r="H957">
        <v>7</v>
      </c>
      <c r="I957">
        <v>1846</v>
      </c>
      <c r="J957">
        <v>12922</v>
      </c>
    </row>
    <row r="958" spans="1:10" x14ac:dyDescent="0.2">
      <c r="A958" s="3" t="s">
        <v>1422</v>
      </c>
      <c r="B958" s="5">
        <v>45086</v>
      </c>
      <c r="C958" s="3" t="s">
        <v>97</v>
      </c>
      <c r="D958" s="3" t="s">
        <v>1379</v>
      </c>
      <c r="E958" s="3" t="str">
        <f>VLOOKUP(ventas[[#This Row],[ID Producto]],productos[#All],3,FALSE)</f>
        <v>Carnes</v>
      </c>
      <c r="F958" s="10" t="s">
        <v>9</v>
      </c>
      <c r="G958" s="3" t="s">
        <v>456</v>
      </c>
      <c r="H958">
        <v>1</v>
      </c>
      <c r="I958">
        <v>1846</v>
      </c>
      <c r="J958">
        <v>1846</v>
      </c>
    </row>
    <row r="959" spans="1:10" x14ac:dyDescent="0.2">
      <c r="A959" s="3" t="s">
        <v>1423</v>
      </c>
      <c r="B959" s="5">
        <v>45276</v>
      </c>
      <c r="C959" s="3" t="s">
        <v>77</v>
      </c>
      <c r="D959" s="3" t="s">
        <v>1379</v>
      </c>
      <c r="E959" s="3" t="str">
        <f>VLOOKUP(ventas[[#This Row],[ID Producto]],productos[#All],3,FALSE)</f>
        <v>Carnes</v>
      </c>
      <c r="F959" s="9" t="s">
        <v>15</v>
      </c>
      <c r="G959" s="3" t="s">
        <v>453</v>
      </c>
      <c r="H959">
        <v>7</v>
      </c>
      <c r="I959">
        <v>1846</v>
      </c>
      <c r="J959">
        <v>12922</v>
      </c>
    </row>
    <row r="960" spans="1:10" x14ac:dyDescent="0.2">
      <c r="A960" s="3" t="s">
        <v>1424</v>
      </c>
      <c r="B960" s="5">
        <v>45113</v>
      </c>
      <c r="C960" s="3" t="s">
        <v>69</v>
      </c>
      <c r="D960" s="3" t="s">
        <v>1379</v>
      </c>
      <c r="E960" s="3" t="str">
        <f>VLOOKUP(ventas[[#This Row],[ID Producto]],productos[#All],3,FALSE)</f>
        <v>Carnes</v>
      </c>
      <c r="F960" s="9" t="s">
        <v>9</v>
      </c>
      <c r="G960" s="3" t="s">
        <v>463</v>
      </c>
      <c r="H960">
        <v>8</v>
      </c>
      <c r="I960">
        <v>1846</v>
      </c>
      <c r="J960">
        <v>14768</v>
      </c>
    </row>
    <row r="961" spans="1:10" x14ac:dyDescent="0.2">
      <c r="A961" s="3" t="s">
        <v>1425</v>
      </c>
      <c r="B961" s="5">
        <v>44951</v>
      </c>
      <c r="C961" s="3" t="s">
        <v>363</v>
      </c>
      <c r="D961" s="3" t="s">
        <v>1379</v>
      </c>
      <c r="E961" s="3" t="str">
        <f>VLOOKUP(ventas[[#This Row],[ID Producto]],productos[#All],3,FALSE)</f>
        <v>Carnes</v>
      </c>
      <c r="F961" s="9" t="s">
        <v>11</v>
      </c>
      <c r="G961" s="3" t="s">
        <v>463</v>
      </c>
      <c r="H961">
        <v>1</v>
      </c>
      <c r="I961">
        <v>1846</v>
      </c>
      <c r="J961">
        <v>1846</v>
      </c>
    </row>
    <row r="962" spans="1:10" x14ac:dyDescent="0.2">
      <c r="A962" s="3" t="s">
        <v>1426</v>
      </c>
      <c r="B962" s="5">
        <v>45037</v>
      </c>
      <c r="C962" s="3" t="s">
        <v>253</v>
      </c>
      <c r="D962" s="3" t="s">
        <v>1379</v>
      </c>
      <c r="E962" s="3" t="str">
        <f>VLOOKUP(ventas[[#This Row],[ID Producto]],productos[#All],3,FALSE)</f>
        <v>Carnes</v>
      </c>
      <c r="F962" s="10" t="s">
        <v>9</v>
      </c>
      <c r="G962" s="3" t="s">
        <v>463</v>
      </c>
      <c r="H962">
        <v>8</v>
      </c>
      <c r="I962">
        <v>1846</v>
      </c>
      <c r="J962">
        <v>14768</v>
      </c>
    </row>
    <row r="963" spans="1:10" x14ac:dyDescent="0.2">
      <c r="A963" s="3" t="s">
        <v>1427</v>
      </c>
      <c r="B963" s="5">
        <v>45063</v>
      </c>
      <c r="C963" s="3" t="s">
        <v>301</v>
      </c>
      <c r="D963" s="3" t="s">
        <v>1379</v>
      </c>
      <c r="E963" s="3" t="str">
        <f>VLOOKUP(ventas[[#This Row],[ID Producto]],productos[#All],3,FALSE)</f>
        <v>Carnes</v>
      </c>
      <c r="F963" s="10" t="s">
        <v>9</v>
      </c>
      <c r="G963" s="3" t="s">
        <v>453</v>
      </c>
      <c r="H963">
        <v>2</v>
      </c>
      <c r="I963">
        <v>1846</v>
      </c>
      <c r="J963">
        <v>3692</v>
      </c>
    </row>
    <row r="964" spans="1:10" x14ac:dyDescent="0.2">
      <c r="A964" s="3" t="s">
        <v>1428</v>
      </c>
      <c r="B964" s="5">
        <v>45044</v>
      </c>
      <c r="C964" s="3" t="s">
        <v>319</v>
      </c>
      <c r="D964" s="3" t="s">
        <v>1379</v>
      </c>
      <c r="E964" s="3" t="str">
        <f>VLOOKUP(ventas[[#This Row],[ID Producto]],productos[#All],3,FALSE)</f>
        <v>Carnes</v>
      </c>
      <c r="F964" s="9" t="s">
        <v>15</v>
      </c>
      <c r="G964" s="3" t="s">
        <v>456</v>
      </c>
      <c r="H964">
        <v>9</v>
      </c>
      <c r="I964">
        <v>1846</v>
      </c>
      <c r="J964">
        <v>16614</v>
      </c>
    </row>
    <row r="965" spans="1:10" x14ac:dyDescent="0.2">
      <c r="A965" s="3" t="s">
        <v>1429</v>
      </c>
      <c r="B965" s="5">
        <v>44946</v>
      </c>
      <c r="C965" s="3" t="s">
        <v>149</v>
      </c>
      <c r="D965" s="3" t="s">
        <v>1379</v>
      </c>
      <c r="E965" s="3" t="str">
        <f>VLOOKUP(ventas[[#This Row],[ID Producto]],productos[#All],3,FALSE)</f>
        <v>Carnes</v>
      </c>
      <c r="F965" s="9" t="s">
        <v>9</v>
      </c>
      <c r="G965" s="3" t="s">
        <v>463</v>
      </c>
      <c r="H965">
        <v>1</v>
      </c>
      <c r="I965">
        <v>1846</v>
      </c>
      <c r="J965">
        <v>1846</v>
      </c>
    </row>
    <row r="966" spans="1:10" x14ac:dyDescent="0.2">
      <c r="A966" s="3" t="s">
        <v>1430</v>
      </c>
      <c r="B966" s="5">
        <v>45117</v>
      </c>
      <c r="C966" s="3" t="s">
        <v>75</v>
      </c>
      <c r="D966" s="3" t="s">
        <v>1431</v>
      </c>
      <c r="E966" s="3" t="str">
        <f>VLOOKUP(ventas[[#This Row],[ID Producto]],productos[#All],3,FALSE)</f>
        <v>Limpieza</v>
      </c>
      <c r="F966" s="9" t="s">
        <v>11</v>
      </c>
      <c r="G966" s="3" t="s">
        <v>463</v>
      </c>
      <c r="H966">
        <v>2</v>
      </c>
      <c r="I966">
        <v>4295</v>
      </c>
      <c r="J966">
        <v>859</v>
      </c>
    </row>
    <row r="967" spans="1:10" x14ac:dyDescent="0.2">
      <c r="A967" s="3" t="s">
        <v>1432</v>
      </c>
      <c r="B967" s="5">
        <v>45139</v>
      </c>
      <c r="C967" s="3" t="s">
        <v>255</v>
      </c>
      <c r="D967" s="3" t="s">
        <v>1431</v>
      </c>
      <c r="E967" s="3" t="str">
        <f>VLOOKUP(ventas[[#This Row],[ID Producto]],productos[#All],3,FALSE)</f>
        <v>Limpieza</v>
      </c>
      <c r="F967" s="10" t="s">
        <v>9</v>
      </c>
      <c r="G967" s="3" t="s">
        <v>463</v>
      </c>
      <c r="H967">
        <v>7</v>
      </c>
      <c r="I967">
        <v>4295</v>
      </c>
      <c r="J967">
        <v>30065</v>
      </c>
    </row>
    <row r="968" spans="1:10" x14ac:dyDescent="0.2">
      <c r="A968" s="3" t="s">
        <v>1433</v>
      </c>
      <c r="B968" s="5">
        <v>44979</v>
      </c>
      <c r="C968" s="3" t="s">
        <v>405</v>
      </c>
      <c r="D968" s="3" t="s">
        <v>1431</v>
      </c>
      <c r="E968" s="3" t="str">
        <f>VLOOKUP(ventas[[#This Row],[ID Producto]],productos[#All],3,FALSE)</f>
        <v>Limpieza</v>
      </c>
      <c r="F968" s="10" t="s">
        <v>9</v>
      </c>
      <c r="G968" s="3" t="s">
        <v>463</v>
      </c>
      <c r="H968">
        <v>4</v>
      </c>
      <c r="I968">
        <v>4295</v>
      </c>
      <c r="J968">
        <v>1718</v>
      </c>
    </row>
    <row r="969" spans="1:10" x14ac:dyDescent="0.2">
      <c r="A969" s="3" t="s">
        <v>1434</v>
      </c>
      <c r="B969" s="5">
        <v>45219</v>
      </c>
      <c r="C969" s="3" t="s">
        <v>365</v>
      </c>
      <c r="D969" s="3" t="s">
        <v>1431</v>
      </c>
      <c r="E969" s="3" t="str">
        <f>VLOOKUP(ventas[[#This Row],[ID Producto]],productos[#All],3,FALSE)</f>
        <v>Limpieza</v>
      </c>
      <c r="F969" s="9" t="s">
        <v>15</v>
      </c>
      <c r="G969" s="3" t="s">
        <v>453</v>
      </c>
      <c r="H969">
        <v>9</v>
      </c>
      <c r="I969">
        <v>4295</v>
      </c>
      <c r="J969">
        <v>38655</v>
      </c>
    </row>
    <row r="970" spans="1:10" x14ac:dyDescent="0.2">
      <c r="A970" s="3" t="s">
        <v>1435</v>
      </c>
      <c r="B970" s="5">
        <v>44961</v>
      </c>
      <c r="C970" s="3" t="s">
        <v>77</v>
      </c>
      <c r="D970" s="3" t="s">
        <v>1431</v>
      </c>
      <c r="E970" s="3" t="str">
        <f>VLOOKUP(ventas[[#This Row],[ID Producto]],productos[#All],3,FALSE)</f>
        <v>Limpieza</v>
      </c>
      <c r="F970" s="9" t="s">
        <v>9</v>
      </c>
      <c r="G970" s="3" t="s">
        <v>456</v>
      </c>
      <c r="H970">
        <v>5</v>
      </c>
      <c r="I970">
        <v>4295</v>
      </c>
      <c r="J970">
        <v>21475</v>
      </c>
    </row>
    <row r="971" spans="1:10" x14ac:dyDescent="0.2">
      <c r="A971" s="3" t="s">
        <v>1436</v>
      </c>
      <c r="B971" s="5">
        <v>45022</v>
      </c>
      <c r="C971" s="3" t="s">
        <v>69</v>
      </c>
      <c r="D971" s="3" t="s">
        <v>1431</v>
      </c>
      <c r="E971" s="3" t="str">
        <f>VLOOKUP(ventas[[#This Row],[ID Producto]],productos[#All],3,FALSE)</f>
        <v>Limpieza</v>
      </c>
      <c r="F971" s="9" t="s">
        <v>11</v>
      </c>
      <c r="G971" s="3" t="s">
        <v>456</v>
      </c>
      <c r="H971">
        <v>9</v>
      </c>
      <c r="I971">
        <v>4295</v>
      </c>
      <c r="J971">
        <v>38655</v>
      </c>
    </row>
    <row r="972" spans="1:10" x14ac:dyDescent="0.2">
      <c r="A972" s="3" t="s">
        <v>1437</v>
      </c>
      <c r="B972" s="5">
        <v>45209</v>
      </c>
      <c r="C972" s="3" t="s">
        <v>105</v>
      </c>
      <c r="D972" s="3" t="s">
        <v>1431</v>
      </c>
      <c r="E972" s="3" t="str">
        <f>VLOOKUP(ventas[[#This Row],[ID Producto]],productos[#All],3,FALSE)</f>
        <v>Limpieza</v>
      </c>
      <c r="F972" s="10" t="s">
        <v>9</v>
      </c>
      <c r="G972" s="3" t="s">
        <v>456</v>
      </c>
      <c r="H972">
        <v>9</v>
      </c>
      <c r="I972">
        <v>4295</v>
      </c>
      <c r="J972">
        <v>38655</v>
      </c>
    </row>
    <row r="973" spans="1:10" x14ac:dyDescent="0.2">
      <c r="A973" s="3" t="s">
        <v>1438</v>
      </c>
      <c r="B973" s="5">
        <v>45241</v>
      </c>
      <c r="C973" s="3" t="s">
        <v>173</v>
      </c>
      <c r="D973" s="3" t="s">
        <v>1431</v>
      </c>
      <c r="E973" s="3" t="str">
        <f>VLOOKUP(ventas[[#This Row],[ID Producto]],productos[#All],3,FALSE)</f>
        <v>Limpieza</v>
      </c>
      <c r="F973" s="10" t="s">
        <v>9</v>
      </c>
      <c r="G973" s="3" t="s">
        <v>456</v>
      </c>
      <c r="H973">
        <v>6</v>
      </c>
      <c r="I973">
        <v>4295</v>
      </c>
      <c r="J973">
        <v>2577</v>
      </c>
    </row>
    <row r="974" spans="1:10" x14ac:dyDescent="0.2">
      <c r="A974" s="3" t="s">
        <v>1439</v>
      </c>
      <c r="B974" s="5">
        <v>45039</v>
      </c>
      <c r="C974" s="3" t="s">
        <v>117</v>
      </c>
      <c r="D974" s="3" t="s">
        <v>1431</v>
      </c>
      <c r="E974" s="3" t="str">
        <f>VLOOKUP(ventas[[#This Row],[ID Producto]],productos[#All],3,FALSE)</f>
        <v>Limpieza</v>
      </c>
      <c r="F974" s="9" t="s">
        <v>15</v>
      </c>
      <c r="G974" s="3" t="s">
        <v>463</v>
      </c>
      <c r="H974">
        <v>3</v>
      </c>
      <c r="I974">
        <v>4295</v>
      </c>
      <c r="J974">
        <v>12885</v>
      </c>
    </row>
    <row r="975" spans="1:10" x14ac:dyDescent="0.2">
      <c r="A975" s="3" t="s">
        <v>1440</v>
      </c>
      <c r="B975" s="5">
        <v>45251</v>
      </c>
      <c r="C975" s="3" t="s">
        <v>369</v>
      </c>
      <c r="D975" s="3" t="s">
        <v>1431</v>
      </c>
      <c r="E975" s="3" t="str">
        <f>VLOOKUP(ventas[[#This Row],[ID Producto]],productos[#All],3,FALSE)</f>
        <v>Limpieza</v>
      </c>
      <c r="F975" s="9" t="s">
        <v>9</v>
      </c>
      <c r="G975" s="3" t="s">
        <v>463</v>
      </c>
      <c r="H975">
        <v>9</v>
      </c>
      <c r="I975">
        <v>4295</v>
      </c>
      <c r="J975">
        <v>38655</v>
      </c>
    </row>
    <row r="976" spans="1:10" x14ac:dyDescent="0.2">
      <c r="A976" s="3" t="s">
        <v>1441</v>
      </c>
      <c r="B976" s="5">
        <v>45127</v>
      </c>
      <c r="C976" s="3" t="s">
        <v>359</v>
      </c>
      <c r="D976" s="3" t="s">
        <v>1431</v>
      </c>
      <c r="E976" s="3" t="str">
        <f>VLOOKUP(ventas[[#This Row],[ID Producto]],productos[#All],3,FALSE)</f>
        <v>Limpieza</v>
      </c>
      <c r="F976" s="9" t="s">
        <v>11</v>
      </c>
      <c r="G976" s="3" t="s">
        <v>456</v>
      </c>
      <c r="H976">
        <v>6</v>
      </c>
      <c r="I976">
        <v>4295</v>
      </c>
      <c r="J976">
        <v>2577</v>
      </c>
    </row>
    <row r="977" spans="1:10" x14ac:dyDescent="0.2">
      <c r="A977" s="3" t="s">
        <v>1442</v>
      </c>
      <c r="B977" s="5">
        <v>45113</v>
      </c>
      <c r="C977" s="3" t="s">
        <v>145</v>
      </c>
      <c r="D977" s="3" t="s">
        <v>1431</v>
      </c>
      <c r="E977" s="3" t="str">
        <f>VLOOKUP(ventas[[#This Row],[ID Producto]],productos[#All],3,FALSE)</f>
        <v>Limpieza</v>
      </c>
      <c r="F977" s="10" t="s">
        <v>9</v>
      </c>
      <c r="G977" s="3" t="s">
        <v>456</v>
      </c>
      <c r="H977">
        <v>9</v>
      </c>
      <c r="I977">
        <v>4295</v>
      </c>
      <c r="J977">
        <v>38655</v>
      </c>
    </row>
    <row r="978" spans="1:10" x14ac:dyDescent="0.2">
      <c r="A978" s="3" t="s">
        <v>1443</v>
      </c>
      <c r="B978" s="5">
        <v>45178</v>
      </c>
      <c r="C978" s="3" t="s">
        <v>401</v>
      </c>
      <c r="D978" s="3" t="s">
        <v>1431</v>
      </c>
      <c r="E978" s="3" t="str">
        <f>VLOOKUP(ventas[[#This Row],[ID Producto]],productos[#All],3,FALSE)</f>
        <v>Limpieza</v>
      </c>
      <c r="F978" s="10" t="s">
        <v>9</v>
      </c>
      <c r="G978" s="3" t="s">
        <v>463</v>
      </c>
      <c r="H978">
        <v>7</v>
      </c>
      <c r="I978">
        <v>4295</v>
      </c>
      <c r="J978">
        <v>30065</v>
      </c>
    </row>
    <row r="979" spans="1:10" x14ac:dyDescent="0.2">
      <c r="A979" s="3" t="s">
        <v>1444</v>
      </c>
      <c r="B979" s="5">
        <v>45230</v>
      </c>
      <c r="C979" s="3" t="s">
        <v>85</v>
      </c>
      <c r="D979" s="3" t="s">
        <v>1431</v>
      </c>
      <c r="E979" s="3" t="str">
        <f>VLOOKUP(ventas[[#This Row],[ID Producto]],productos[#All],3,FALSE)</f>
        <v>Limpieza</v>
      </c>
      <c r="F979" s="9" t="s">
        <v>15</v>
      </c>
      <c r="G979" s="3" t="s">
        <v>463</v>
      </c>
      <c r="H979">
        <v>9</v>
      </c>
      <c r="I979">
        <v>4295</v>
      </c>
      <c r="J979">
        <v>38655</v>
      </c>
    </row>
    <row r="980" spans="1:10" x14ac:dyDescent="0.2">
      <c r="A980" s="3" t="s">
        <v>1445</v>
      </c>
      <c r="B980" s="5">
        <v>45203</v>
      </c>
      <c r="C980" s="3" t="s">
        <v>331</v>
      </c>
      <c r="D980" s="3" t="s">
        <v>1431</v>
      </c>
      <c r="E980" s="3" t="str">
        <f>VLOOKUP(ventas[[#This Row],[ID Producto]],productos[#All],3,FALSE)</f>
        <v>Limpieza</v>
      </c>
      <c r="F980" s="9" t="s">
        <v>9</v>
      </c>
      <c r="G980" s="3" t="s">
        <v>463</v>
      </c>
      <c r="H980">
        <v>2</v>
      </c>
      <c r="I980">
        <v>4295</v>
      </c>
      <c r="J980">
        <v>859</v>
      </c>
    </row>
    <row r="981" spans="1:10" x14ac:dyDescent="0.2">
      <c r="A981" s="3" t="s">
        <v>1446</v>
      </c>
      <c r="B981" s="5">
        <v>45084</v>
      </c>
      <c r="C981" s="3" t="s">
        <v>105</v>
      </c>
      <c r="D981" s="3" t="s">
        <v>1431</v>
      </c>
      <c r="E981" s="3" t="str">
        <f>VLOOKUP(ventas[[#This Row],[ID Producto]],productos[#All],3,FALSE)</f>
        <v>Limpieza</v>
      </c>
      <c r="F981" s="9" t="s">
        <v>11</v>
      </c>
      <c r="G981" s="3" t="s">
        <v>453</v>
      </c>
      <c r="H981">
        <v>5</v>
      </c>
      <c r="I981">
        <v>4295</v>
      </c>
      <c r="J981">
        <v>21475</v>
      </c>
    </row>
    <row r="982" spans="1:10" x14ac:dyDescent="0.2">
      <c r="A982" s="3" t="s">
        <v>1447</v>
      </c>
      <c r="B982" s="5">
        <v>45281</v>
      </c>
      <c r="C982" s="3" t="s">
        <v>105</v>
      </c>
      <c r="D982" s="3" t="s">
        <v>1431</v>
      </c>
      <c r="E982" s="3" t="str">
        <f>VLOOKUP(ventas[[#This Row],[ID Producto]],productos[#All],3,FALSE)</f>
        <v>Limpieza</v>
      </c>
      <c r="F982" s="10" t="s">
        <v>9</v>
      </c>
      <c r="G982" s="3" t="s">
        <v>453</v>
      </c>
      <c r="H982">
        <v>4</v>
      </c>
      <c r="I982">
        <v>4295</v>
      </c>
      <c r="J982">
        <v>1718</v>
      </c>
    </row>
    <row r="983" spans="1:10" x14ac:dyDescent="0.2">
      <c r="A983" s="3" t="s">
        <v>1448</v>
      </c>
      <c r="B983" s="5">
        <v>45084</v>
      </c>
      <c r="C983" s="3" t="s">
        <v>421</v>
      </c>
      <c r="D983" s="3" t="s">
        <v>1431</v>
      </c>
      <c r="E983" s="3" t="str">
        <f>VLOOKUP(ventas[[#This Row],[ID Producto]],productos[#All],3,FALSE)</f>
        <v>Limpieza</v>
      </c>
      <c r="F983" s="10" t="s">
        <v>9</v>
      </c>
      <c r="G983" s="3" t="s">
        <v>463</v>
      </c>
      <c r="H983">
        <v>7</v>
      </c>
      <c r="I983">
        <v>4295</v>
      </c>
      <c r="J983">
        <v>30065</v>
      </c>
    </row>
    <row r="984" spans="1:10" x14ac:dyDescent="0.2">
      <c r="A984" s="3" t="s">
        <v>1449</v>
      </c>
      <c r="B984" s="5">
        <v>45216</v>
      </c>
      <c r="C984" s="3" t="s">
        <v>71</v>
      </c>
      <c r="D984" s="3" t="s">
        <v>1431</v>
      </c>
      <c r="E984" s="3" t="str">
        <f>VLOOKUP(ventas[[#This Row],[ID Producto]],productos[#All],3,FALSE)</f>
        <v>Limpieza</v>
      </c>
      <c r="F984" s="9" t="s">
        <v>15</v>
      </c>
      <c r="G984" s="3" t="s">
        <v>463</v>
      </c>
      <c r="H984">
        <v>7</v>
      </c>
      <c r="I984">
        <v>4295</v>
      </c>
      <c r="J984">
        <v>30065</v>
      </c>
    </row>
    <row r="985" spans="1:10" x14ac:dyDescent="0.2">
      <c r="A985" s="3" t="s">
        <v>1450</v>
      </c>
      <c r="B985" s="5">
        <v>44942</v>
      </c>
      <c r="C985" s="3" t="s">
        <v>79</v>
      </c>
      <c r="D985" s="3" t="s">
        <v>1431</v>
      </c>
      <c r="E985" s="3" t="str">
        <f>VLOOKUP(ventas[[#This Row],[ID Producto]],productos[#All],3,FALSE)</f>
        <v>Limpieza</v>
      </c>
      <c r="F985" s="9" t="s">
        <v>9</v>
      </c>
      <c r="G985" s="3" t="s">
        <v>463</v>
      </c>
      <c r="H985">
        <v>1</v>
      </c>
      <c r="I985">
        <v>4295</v>
      </c>
      <c r="J985">
        <v>4295</v>
      </c>
    </row>
    <row r="986" spans="1:10" x14ac:dyDescent="0.2">
      <c r="A986" s="3" t="s">
        <v>1451</v>
      </c>
      <c r="B986" s="5">
        <v>45116</v>
      </c>
      <c r="C986" s="3" t="s">
        <v>363</v>
      </c>
      <c r="D986" s="3" t="s">
        <v>1431</v>
      </c>
      <c r="E986" s="3" t="str">
        <f>VLOOKUP(ventas[[#This Row],[ID Producto]],productos[#All],3,FALSE)</f>
        <v>Limpieza</v>
      </c>
      <c r="F986" s="9" t="s">
        <v>11</v>
      </c>
      <c r="G986" s="3" t="s">
        <v>453</v>
      </c>
      <c r="H986">
        <v>9</v>
      </c>
      <c r="I986">
        <v>4295</v>
      </c>
      <c r="J986">
        <v>38655</v>
      </c>
    </row>
    <row r="987" spans="1:10" x14ac:dyDescent="0.2">
      <c r="A987" s="3" t="s">
        <v>1452</v>
      </c>
      <c r="B987" s="5">
        <v>45265</v>
      </c>
      <c r="C987" s="3" t="s">
        <v>287</v>
      </c>
      <c r="D987" s="3" t="s">
        <v>1431</v>
      </c>
      <c r="E987" s="3" t="str">
        <f>VLOOKUP(ventas[[#This Row],[ID Producto]],productos[#All],3,FALSE)</f>
        <v>Limpieza</v>
      </c>
      <c r="F987" s="10" t="s">
        <v>9</v>
      </c>
      <c r="G987" s="3" t="s">
        <v>453</v>
      </c>
      <c r="H987">
        <v>1</v>
      </c>
      <c r="I987">
        <v>4295</v>
      </c>
      <c r="J987">
        <v>4295</v>
      </c>
    </row>
    <row r="988" spans="1:10" x14ac:dyDescent="0.2">
      <c r="A988" s="3" t="s">
        <v>1453</v>
      </c>
      <c r="B988" s="5">
        <v>45059</v>
      </c>
      <c r="C988" s="3" t="s">
        <v>327</v>
      </c>
      <c r="D988" s="3" t="s">
        <v>1431</v>
      </c>
      <c r="E988" s="3" t="str">
        <f>VLOOKUP(ventas[[#This Row],[ID Producto]],productos[#All],3,FALSE)</f>
        <v>Limpieza</v>
      </c>
      <c r="F988" s="10" t="s">
        <v>9</v>
      </c>
      <c r="G988" s="3" t="s">
        <v>453</v>
      </c>
      <c r="H988">
        <v>2</v>
      </c>
      <c r="I988">
        <v>4295</v>
      </c>
      <c r="J988">
        <v>859</v>
      </c>
    </row>
    <row r="989" spans="1:10" x14ac:dyDescent="0.2">
      <c r="A989" s="3" t="s">
        <v>1454</v>
      </c>
      <c r="B989" s="5">
        <v>45179</v>
      </c>
      <c r="C989" s="3" t="s">
        <v>223</v>
      </c>
      <c r="D989" s="3" t="s">
        <v>1431</v>
      </c>
      <c r="E989" s="3" t="str">
        <f>VLOOKUP(ventas[[#This Row],[ID Producto]],productos[#All],3,FALSE)</f>
        <v>Limpieza</v>
      </c>
      <c r="F989" s="9" t="s">
        <v>15</v>
      </c>
      <c r="G989" s="3" t="s">
        <v>456</v>
      </c>
      <c r="H989">
        <v>5</v>
      </c>
      <c r="I989">
        <v>4295</v>
      </c>
      <c r="J989">
        <v>21475</v>
      </c>
    </row>
    <row r="990" spans="1:10" x14ac:dyDescent="0.2">
      <c r="A990" s="3" t="s">
        <v>1455</v>
      </c>
      <c r="B990" s="5">
        <v>45209</v>
      </c>
      <c r="C990" s="3" t="s">
        <v>55</v>
      </c>
      <c r="D990" s="3" t="s">
        <v>1431</v>
      </c>
      <c r="E990" s="3" t="str">
        <f>VLOOKUP(ventas[[#This Row],[ID Producto]],productos[#All],3,FALSE)</f>
        <v>Limpieza</v>
      </c>
      <c r="F990" s="9" t="s">
        <v>9</v>
      </c>
      <c r="G990" s="3" t="s">
        <v>456</v>
      </c>
      <c r="H990">
        <v>3</v>
      </c>
      <c r="I990">
        <v>4295</v>
      </c>
      <c r="J990">
        <v>12885</v>
      </c>
    </row>
    <row r="991" spans="1:10" x14ac:dyDescent="0.2">
      <c r="A991" s="3" t="s">
        <v>1456</v>
      </c>
      <c r="B991" s="5">
        <v>45168</v>
      </c>
      <c r="C991" s="3" t="s">
        <v>337</v>
      </c>
      <c r="D991" s="3" t="s">
        <v>1431</v>
      </c>
      <c r="E991" s="3" t="str">
        <f>VLOOKUP(ventas[[#This Row],[ID Producto]],productos[#All],3,FALSE)</f>
        <v>Limpieza</v>
      </c>
      <c r="F991" s="9" t="s">
        <v>11</v>
      </c>
      <c r="G991" s="3" t="s">
        <v>453</v>
      </c>
      <c r="H991">
        <v>4</v>
      </c>
      <c r="I991">
        <v>4295</v>
      </c>
      <c r="J991">
        <v>1718</v>
      </c>
    </row>
    <row r="992" spans="1:10" x14ac:dyDescent="0.2">
      <c r="A992" s="3" t="s">
        <v>1457</v>
      </c>
      <c r="B992" s="5">
        <v>44946</v>
      </c>
      <c r="C992" s="3" t="s">
        <v>123</v>
      </c>
      <c r="D992" s="3" t="s">
        <v>1431</v>
      </c>
      <c r="E992" s="3" t="str">
        <f>VLOOKUP(ventas[[#This Row],[ID Producto]],productos[#All],3,FALSE)</f>
        <v>Limpieza</v>
      </c>
      <c r="F992" s="10" t="s">
        <v>9</v>
      </c>
      <c r="G992" s="3" t="s">
        <v>463</v>
      </c>
      <c r="H992">
        <v>1</v>
      </c>
      <c r="I992">
        <v>4295</v>
      </c>
      <c r="J992">
        <v>4295</v>
      </c>
    </row>
    <row r="993" spans="1:10" x14ac:dyDescent="0.2">
      <c r="A993" s="3" t="s">
        <v>1458</v>
      </c>
      <c r="B993" s="5">
        <v>44973</v>
      </c>
      <c r="C993" s="3" t="s">
        <v>191</v>
      </c>
      <c r="D993" s="3" t="s">
        <v>1431</v>
      </c>
      <c r="E993" s="3" t="str">
        <f>VLOOKUP(ventas[[#This Row],[ID Producto]],productos[#All],3,FALSE)</f>
        <v>Limpieza</v>
      </c>
      <c r="F993" s="10" t="s">
        <v>9</v>
      </c>
      <c r="G993" s="3" t="s">
        <v>456</v>
      </c>
      <c r="H993">
        <v>6</v>
      </c>
      <c r="I993">
        <v>4295</v>
      </c>
      <c r="J993">
        <v>2577</v>
      </c>
    </row>
    <row r="994" spans="1:10" x14ac:dyDescent="0.2">
      <c r="A994" s="3" t="s">
        <v>1459</v>
      </c>
      <c r="B994" s="5">
        <v>45150</v>
      </c>
      <c r="C994" s="3" t="s">
        <v>209</v>
      </c>
      <c r="D994" s="3" t="s">
        <v>1431</v>
      </c>
      <c r="E994" s="3" t="str">
        <f>VLOOKUP(ventas[[#This Row],[ID Producto]],productos[#All],3,FALSE)</f>
        <v>Limpieza</v>
      </c>
      <c r="F994" s="9" t="s">
        <v>15</v>
      </c>
      <c r="G994" s="3" t="s">
        <v>453</v>
      </c>
      <c r="H994">
        <v>5</v>
      </c>
      <c r="I994">
        <v>4295</v>
      </c>
      <c r="J994">
        <v>21475</v>
      </c>
    </row>
    <row r="995" spans="1:10" x14ac:dyDescent="0.2">
      <c r="A995" s="3" t="s">
        <v>1460</v>
      </c>
      <c r="B995" s="5">
        <v>44972</v>
      </c>
      <c r="C995" s="3" t="s">
        <v>385</v>
      </c>
      <c r="D995" s="3" t="s">
        <v>1431</v>
      </c>
      <c r="E995" s="3" t="str">
        <f>VLOOKUP(ventas[[#This Row],[ID Producto]],productos[#All],3,FALSE)</f>
        <v>Limpieza</v>
      </c>
      <c r="F995" s="9" t="s">
        <v>9</v>
      </c>
      <c r="G995" s="3" t="s">
        <v>456</v>
      </c>
      <c r="H995">
        <v>7</v>
      </c>
      <c r="I995">
        <v>4295</v>
      </c>
      <c r="J995">
        <v>30065</v>
      </c>
    </row>
    <row r="996" spans="1:10" x14ac:dyDescent="0.2">
      <c r="A996" s="3" t="s">
        <v>1461</v>
      </c>
      <c r="B996" s="5">
        <v>45150</v>
      </c>
      <c r="C996" s="3" t="s">
        <v>387</v>
      </c>
      <c r="D996" s="3" t="s">
        <v>1431</v>
      </c>
      <c r="E996" s="3" t="str">
        <f>VLOOKUP(ventas[[#This Row],[ID Producto]],productos[#All],3,FALSE)</f>
        <v>Limpieza</v>
      </c>
      <c r="F996" s="9" t="s">
        <v>11</v>
      </c>
      <c r="G996" s="3" t="s">
        <v>456</v>
      </c>
      <c r="H996">
        <v>5</v>
      </c>
      <c r="I996">
        <v>4295</v>
      </c>
      <c r="J996">
        <v>21475</v>
      </c>
    </row>
    <row r="997" spans="1:10" x14ac:dyDescent="0.2">
      <c r="A997" s="3" t="s">
        <v>1462</v>
      </c>
      <c r="B997" s="5">
        <v>45239</v>
      </c>
      <c r="C997" s="3" t="s">
        <v>75</v>
      </c>
      <c r="D997" s="3" t="s">
        <v>1431</v>
      </c>
      <c r="E997" s="3" t="str">
        <f>VLOOKUP(ventas[[#This Row],[ID Producto]],productos[#All],3,FALSE)</f>
        <v>Limpieza</v>
      </c>
      <c r="F997" s="10" t="s">
        <v>9</v>
      </c>
      <c r="G997" s="3" t="s">
        <v>453</v>
      </c>
      <c r="H997">
        <v>3</v>
      </c>
      <c r="I997">
        <v>4295</v>
      </c>
      <c r="J997">
        <v>12885</v>
      </c>
    </row>
    <row r="998" spans="1:10" x14ac:dyDescent="0.2">
      <c r="A998" s="3" t="s">
        <v>1463</v>
      </c>
      <c r="B998" s="5">
        <v>45220</v>
      </c>
      <c r="C998" s="3" t="s">
        <v>205</v>
      </c>
      <c r="D998" s="3" t="s">
        <v>1431</v>
      </c>
      <c r="E998" s="3" t="str">
        <f>VLOOKUP(ventas[[#This Row],[ID Producto]],productos[#All],3,FALSE)</f>
        <v>Limpieza</v>
      </c>
      <c r="F998" s="10" t="s">
        <v>9</v>
      </c>
      <c r="G998" s="3" t="s">
        <v>456</v>
      </c>
      <c r="H998">
        <v>1</v>
      </c>
      <c r="I998">
        <v>4295</v>
      </c>
      <c r="J998">
        <v>4295</v>
      </c>
    </row>
    <row r="999" spans="1:10" x14ac:dyDescent="0.2">
      <c r="A999" s="3" t="s">
        <v>1464</v>
      </c>
      <c r="B999" s="5">
        <v>45261</v>
      </c>
      <c r="C999" s="3" t="s">
        <v>125</v>
      </c>
      <c r="D999" s="3" t="s">
        <v>1431</v>
      </c>
      <c r="E999" s="3" t="str">
        <f>VLOOKUP(ventas[[#This Row],[ID Producto]],productos[#All],3,FALSE)</f>
        <v>Limpieza</v>
      </c>
      <c r="F999" s="9" t="s">
        <v>15</v>
      </c>
      <c r="G999" s="3" t="s">
        <v>453</v>
      </c>
      <c r="H999">
        <v>8</v>
      </c>
      <c r="I999">
        <v>4295</v>
      </c>
      <c r="J999">
        <v>3436</v>
      </c>
    </row>
    <row r="1000" spans="1:10" x14ac:dyDescent="0.2">
      <c r="A1000" s="3" t="s">
        <v>1465</v>
      </c>
      <c r="B1000" s="5">
        <v>44927</v>
      </c>
      <c r="C1000" s="3" t="s">
        <v>153</v>
      </c>
      <c r="D1000" s="3" t="s">
        <v>1431</v>
      </c>
      <c r="E1000" s="3" t="str">
        <f>VLOOKUP(ventas[[#This Row],[ID Producto]],productos[#All],3,FALSE)</f>
        <v>Limpieza</v>
      </c>
      <c r="F1000" s="9" t="s">
        <v>9</v>
      </c>
      <c r="G1000" s="3" t="s">
        <v>456</v>
      </c>
      <c r="H1000">
        <v>3</v>
      </c>
      <c r="I1000">
        <v>4295</v>
      </c>
      <c r="J1000">
        <v>12885</v>
      </c>
    </row>
    <row r="1001" spans="1:10" x14ac:dyDescent="0.2">
      <c r="A1001" s="3" t="s">
        <v>1466</v>
      </c>
      <c r="B1001" s="5">
        <v>44938</v>
      </c>
      <c r="C1001" s="3" t="s">
        <v>101</v>
      </c>
      <c r="D1001" s="3" t="s">
        <v>1431</v>
      </c>
      <c r="E1001" s="3" t="str">
        <f>VLOOKUP(ventas[[#This Row],[ID Producto]],productos[#All],3,FALSE)</f>
        <v>Limpieza</v>
      </c>
      <c r="F1001" s="9" t="s">
        <v>11</v>
      </c>
      <c r="G1001" s="3" t="s">
        <v>453</v>
      </c>
      <c r="H1001">
        <v>7</v>
      </c>
      <c r="I1001">
        <v>4295</v>
      </c>
      <c r="J1001">
        <v>30065</v>
      </c>
    </row>
    <row r="1002" spans="1:10" x14ac:dyDescent="0.2">
      <c r="A1002" s="3" t="s">
        <v>1467</v>
      </c>
      <c r="B1002" s="5">
        <v>45208</v>
      </c>
      <c r="C1002" s="3" t="s">
        <v>409</v>
      </c>
      <c r="D1002" s="3" t="s">
        <v>1431</v>
      </c>
      <c r="E1002" s="3" t="str">
        <f>VLOOKUP(ventas[[#This Row],[ID Producto]],productos[#All],3,FALSE)</f>
        <v>Limpieza</v>
      </c>
      <c r="F1002" s="10" t="s">
        <v>9</v>
      </c>
      <c r="G1002" s="3" t="s">
        <v>456</v>
      </c>
      <c r="H1002">
        <v>9</v>
      </c>
      <c r="I1002">
        <v>4295</v>
      </c>
      <c r="J1002">
        <v>38655</v>
      </c>
    </row>
    <row r="1003" spans="1:10" x14ac:dyDescent="0.2">
      <c r="A1003" s="3" t="s">
        <v>1468</v>
      </c>
      <c r="B1003" s="5">
        <v>44940</v>
      </c>
      <c r="C1003" s="3" t="s">
        <v>83</v>
      </c>
      <c r="D1003" s="3" t="s">
        <v>1431</v>
      </c>
      <c r="E1003" s="3" t="str">
        <f>VLOOKUP(ventas[[#This Row],[ID Producto]],productos[#All],3,FALSE)</f>
        <v>Limpieza</v>
      </c>
      <c r="F1003" s="10" t="s">
        <v>9</v>
      </c>
      <c r="G1003" s="3" t="s">
        <v>456</v>
      </c>
      <c r="H1003">
        <v>5</v>
      </c>
      <c r="I1003">
        <v>4295</v>
      </c>
      <c r="J1003">
        <v>21475</v>
      </c>
    </row>
    <row r="1004" spans="1:10" x14ac:dyDescent="0.2">
      <c r="A1004" s="3" t="s">
        <v>1469</v>
      </c>
      <c r="B1004" s="5">
        <v>45291</v>
      </c>
      <c r="C1004" s="3" t="s">
        <v>315</v>
      </c>
      <c r="D1004" s="3" t="s">
        <v>1431</v>
      </c>
      <c r="E1004" s="3" t="str">
        <f>VLOOKUP(ventas[[#This Row],[ID Producto]],productos[#All],3,FALSE)</f>
        <v>Limpieza</v>
      </c>
      <c r="F1004" s="9" t="s">
        <v>15</v>
      </c>
      <c r="G1004" s="3" t="s">
        <v>456</v>
      </c>
      <c r="H1004">
        <v>1</v>
      </c>
      <c r="I1004">
        <v>4295</v>
      </c>
      <c r="J1004">
        <v>4295</v>
      </c>
    </row>
    <row r="1005" spans="1:10" x14ac:dyDescent="0.2">
      <c r="A1005" s="3" t="s">
        <v>1470</v>
      </c>
      <c r="B1005" s="5">
        <v>45203</v>
      </c>
      <c r="C1005" s="3" t="s">
        <v>253</v>
      </c>
      <c r="D1005" s="3" t="s">
        <v>1431</v>
      </c>
      <c r="E1005" s="3" t="str">
        <f>VLOOKUP(ventas[[#This Row],[ID Producto]],productos[#All],3,FALSE)</f>
        <v>Limpieza</v>
      </c>
      <c r="F1005" s="9" t="s">
        <v>9</v>
      </c>
      <c r="G1005" s="3" t="s">
        <v>453</v>
      </c>
      <c r="H1005">
        <v>9</v>
      </c>
      <c r="I1005">
        <v>4295</v>
      </c>
      <c r="J1005">
        <v>38655</v>
      </c>
    </row>
    <row r="1006" spans="1:10" x14ac:dyDescent="0.2">
      <c r="A1006" s="3" t="s">
        <v>1471</v>
      </c>
      <c r="B1006" s="5">
        <v>45060</v>
      </c>
      <c r="C1006" s="3" t="s">
        <v>75</v>
      </c>
      <c r="D1006" s="3" t="s">
        <v>1431</v>
      </c>
      <c r="E1006" s="3" t="str">
        <f>VLOOKUP(ventas[[#This Row],[ID Producto]],productos[#All],3,FALSE)</f>
        <v>Limpieza</v>
      </c>
      <c r="F1006" s="9" t="s">
        <v>11</v>
      </c>
      <c r="G1006" s="3" t="s">
        <v>456</v>
      </c>
      <c r="H1006">
        <v>5</v>
      </c>
      <c r="I1006">
        <v>4295</v>
      </c>
      <c r="J1006">
        <v>21475</v>
      </c>
    </row>
    <row r="1007" spans="1:10" x14ac:dyDescent="0.2">
      <c r="A1007" s="3" t="s">
        <v>1472</v>
      </c>
      <c r="B1007" s="5">
        <v>45099</v>
      </c>
      <c r="C1007" s="3" t="s">
        <v>341</v>
      </c>
      <c r="D1007" s="3" t="s">
        <v>1431</v>
      </c>
      <c r="E1007" s="3" t="str">
        <f>VLOOKUP(ventas[[#This Row],[ID Producto]],productos[#All],3,FALSE)</f>
        <v>Limpieza</v>
      </c>
      <c r="F1007" s="10" t="s">
        <v>9</v>
      </c>
      <c r="G1007" s="3" t="s">
        <v>463</v>
      </c>
      <c r="H1007">
        <v>5</v>
      </c>
      <c r="I1007">
        <v>4295</v>
      </c>
      <c r="J1007">
        <v>21475</v>
      </c>
    </row>
    <row r="1008" spans="1:10" x14ac:dyDescent="0.2">
      <c r="A1008" s="3" t="s">
        <v>1473</v>
      </c>
      <c r="B1008" s="5">
        <v>45151</v>
      </c>
      <c r="C1008" s="3" t="s">
        <v>111</v>
      </c>
      <c r="D1008" s="3" t="s">
        <v>1431</v>
      </c>
      <c r="E1008" s="3" t="str">
        <f>VLOOKUP(ventas[[#This Row],[ID Producto]],productos[#All],3,FALSE)</f>
        <v>Limpieza</v>
      </c>
      <c r="F1008" s="10" t="s">
        <v>9</v>
      </c>
      <c r="G1008" s="3" t="s">
        <v>453</v>
      </c>
      <c r="H1008">
        <v>8</v>
      </c>
      <c r="I1008">
        <v>4295</v>
      </c>
      <c r="J1008">
        <v>3436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D299F-DAA2-4362-821D-E53EF424FA6F}">
  <sheetPr codeName="Hoja5"/>
  <dimension ref="A8:C11"/>
  <sheetViews>
    <sheetView workbookViewId="0">
      <selection activeCell="C9" sqref="C9"/>
    </sheetView>
  </sheetViews>
  <sheetFormatPr baseColWidth="10" defaultRowHeight="12.75" x14ac:dyDescent="0.2"/>
  <cols>
    <col min="1" max="1" width="13.5703125" bestFit="1" customWidth="1"/>
    <col min="2" max="2" width="19" bestFit="1" customWidth="1"/>
    <col min="3" max="4" width="9.7109375" bestFit="1" customWidth="1"/>
  </cols>
  <sheetData>
    <row r="8" spans="1:3" x14ac:dyDescent="0.2">
      <c r="A8" t="s">
        <v>450</v>
      </c>
      <c r="B8" t="s">
        <v>1474</v>
      </c>
      <c r="C8" t="s">
        <v>46</v>
      </c>
    </row>
    <row r="9" spans="1:3" x14ac:dyDescent="0.2">
      <c r="A9" s="3" t="s">
        <v>456</v>
      </c>
      <c r="B9" s="3" t="s">
        <v>10</v>
      </c>
      <c r="C9" s="3" t="s">
        <v>1475</v>
      </c>
    </row>
    <row r="10" spans="1:3" x14ac:dyDescent="0.2">
      <c r="A10" s="3" t="s">
        <v>453</v>
      </c>
      <c r="B10" s="3" t="s">
        <v>7</v>
      </c>
      <c r="C10" s="3" t="s">
        <v>1476</v>
      </c>
    </row>
    <row r="11" spans="1:3" x14ac:dyDescent="0.2">
      <c r="A11" s="3" t="s">
        <v>463</v>
      </c>
      <c r="B11" s="3" t="s">
        <v>13</v>
      </c>
      <c r="C11" s="3" t="s">
        <v>1477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2C93D-3839-4F67-9099-7B86392D856A}">
  <sheetPr codeName="Hoja6"/>
  <dimension ref="A8:D28"/>
  <sheetViews>
    <sheetView workbookViewId="0">
      <selection activeCell="D17" sqref="D17"/>
    </sheetView>
  </sheetViews>
  <sheetFormatPr baseColWidth="10" defaultRowHeight="12.75" x14ac:dyDescent="0.2"/>
  <cols>
    <col min="1" max="1" width="13.85546875" bestFit="1" customWidth="1"/>
    <col min="2" max="2" width="19.28515625" bestFit="1" customWidth="1"/>
    <col min="3" max="3" width="12.140625" bestFit="1" customWidth="1"/>
    <col min="4" max="4" width="16.85546875" bestFit="1" customWidth="1"/>
  </cols>
  <sheetData>
    <row r="8" spans="1:4" x14ac:dyDescent="0.2">
      <c r="A8" t="s">
        <v>449</v>
      </c>
      <c r="B8" t="s">
        <v>1478</v>
      </c>
      <c r="C8" t="s">
        <v>3</v>
      </c>
      <c r="D8" t="s">
        <v>5</v>
      </c>
    </row>
    <row r="9" spans="1:4" x14ac:dyDescent="0.2">
      <c r="A9" s="3" t="s">
        <v>661</v>
      </c>
      <c r="B9" s="3" t="s">
        <v>1479</v>
      </c>
      <c r="C9" s="3" t="s">
        <v>8</v>
      </c>
      <c r="D9">
        <v>166</v>
      </c>
    </row>
    <row r="10" spans="1:4" x14ac:dyDescent="0.2">
      <c r="A10" s="3" t="s">
        <v>1126</v>
      </c>
      <c r="B10" s="3" t="s">
        <v>1480</v>
      </c>
      <c r="C10" s="3" t="s">
        <v>12</v>
      </c>
      <c r="D10">
        <v>3104</v>
      </c>
    </row>
    <row r="11" spans="1:4" x14ac:dyDescent="0.2">
      <c r="A11" s="3" t="s">
        <v>556</v>
      </c>
      <c r="B11" s="3" t="s">
        <v>1481</v>
      </c>
      <c r="C11" s="3" t="s">
        <v>1482</v>
      </c>
      <c r="D11">
        <v>1445</v>
      </c>
    </row>
    <row r="12" spans="1:4" x14ac:dyDescent="0.2">
      <c r="A12" s="3" t="s">
        <v>967</v>
      </c>
      <c r="B12" s="3" t="s">
        <v>1483</v>
      </c>
      <c r="C12" s="3" t="s">
        <v>16</v>
      </c>
      <c r="D12">
        <v>3477</v>
      </c>
    </row>
    <row r="13" spans="1:4" x14ac:dyDescent="0.2">
      <c r="A13" s="3" t="s">
        <v>911</v>
      </c>
      <c r="B13" s="3" t="s">
        <v>1484</v>
      </c>
      <c r="C13" s="3" t="s">
        <v>14</v>
      </c>
      <c r="D13">
        <v>75</v>
      </c>
    </row>
    <row r="14" spans="1:4" x14ac:dyDescent="0.2">
      <c r="A14" s="3" t="s">
        <v>1182</v>
      </c>
      <c r="B14" s="3" t="s">
        <v>1485</v>
      </c>
      <c r="C14" s="3" t="s">
        <v>16</v>
      </c>
      <c r="D14">
        <v>3917</v>
      </c>
    </row>
    <row r="15" spans="1:4" x14ac:dyDescent="0.2">
      <c r="A15" s="3" t="s">
        <v>709</v>
      </c>
      <c r="B15" s="3" t="s">
        <v>1486</v>
      </c>
      <c r="C15" s="3" t="s">
        <v>14</v>
      </c>
      <c r="D15">
        <v>3742</v>
      </c>
    </row>
    <row r="16" spans="1:4" x14ac:dyDescent="0.2">
      <c r="A16" s="3" t="s">
        <v>1281</v>
      </c>
      <c r="B16" s="3" t="s">
        <v>1487</v>
      </c>
      <c r="C16" s="3" t="s">
        <v>12</v>
      </c>
      <c r="D16">
        <v>2778</v>
      </c>
    </row>
    <row r="17" spans="1:4" x14ac:dyDescent="0.2">
      <c r="A17" s="3" t="s">
        <v>1081</v>
      </c>
      <c r="B17" s="3" t="s">
        <v>1488</v>
      </c>
      <c r="C17" s="3" t="s">
        <v>16</v>
      </c>
      <c r="D17">
        <v>3145</v>
      </c>
    </row>
    <row r="18" spans="1:4" x14ac:dyDescent="0.2">
      <c r="A18" s="3" t="s">
        <v>452</v>
      </c>
      <c r="B18" s="3" t="s">
        <v>1487</v>
      </c>
      <c r="C18" s="3" t="s">
        <v>8</v>
      </c>
      <c r="D18">
        <v>4327</v>
      </c>
    </row>
    <row r="19" spans="1:4" x14ac:dyDescent="0.2">
      <c r="A19" s="3" t="s">
        <v>1431</v>
      </c>
      <c r="B19" s="3" t="s">
        <v>1489</v>
      </c>
      <c r="C19" s="3" t="s">
        <v>1482</v>
      </c>
      <c r="D19">
        <v>4295</v>
      </c>
    </row>
    <row r="20" spans="1:4" x14ac:dyDescent="0.2">
      <c r="A20" s="3" t="s">
        <v>756</v>
      </c>
      <c r="B20" s="3" t="s">
        <v>1490</v>
      </c>
      <c r="C20" s="3" t="s">
        <v>1482</v>
      </c>
      <c r="D20">
        <v>4392</v>
      </c>
    </row>
    <row r="21" spans="1:4" x14ac:dyDescent="0.2">
      <c r="A21" s="3" t="s">
        <v>1232</v>
      </c>
      <c r="B21" s="3" t="s">
        <v>1491</v>
      </c>
      <c r="C21" s="3" t="s">
        <v>16</v>
      </c>
      <c r="D21">
        <v>2349</v>
      </c>
    </row>
    <row r="22" spans="1:4" x14ac:dyDescent="0.2">
      <c r="A22" s="3" t="s">
        <v>1379</v>
      </c>
      <c r="B22" s="3" t="s">
        <v>1491</v>
      </c>
      <c r="C22" s="3" t="s">
        <v>8</v>
      </c>
      <c r="D22">
        <v>1846</v>
      </c>
    </row>
    <row r="23" spans="1:4" x14ac:dyDescent="0.2">
      <c r="A23" s="3" t="s">
        <v>607</v>
      </c>
      <c r="B23" s="3" t="s">
        <v>1492</v>
      </c>
      <c r="C23" s="3" t="s">
        <v>8</v>
      </c>
      <c r="D23">
        <v>258</v>
      </c>
    </row>
    <row r="24" spans="1:4" x14ac:dyDescent="0.2">
      <c r="A24" s="3" t="s">
        <v>1334</v>
      </c>
      <c r="B24" s="3" t="s">
        <v>1493</v>
      </c>
      <c r="C24" s="3" t="s">
        <v>12</v>
      </c>
      <c r="D24">
        <v>386</v>
      </c>
    </row>
    <row r="25" spans="1:4" x14ac:dyDescent="0.2">
      <c r="A25" s="3" t="s">
        <v>808</v>
      </c>
      <c r="B25" s="3" t="s">
        <v>1494</v>
      </c>
      <c r="C25" s="3" t="s">
        <v>12</v>
      </c>
      <c r="D25">
        <v>396</v>
      </c>
    </row>
    <row r="26" spans="1:4" x14ac:dyDescent="0.2">
      <c r="A26" s="3" t="s">
        <v>1029</v>
      </c>
      <c r="B26" s="3" t="s">
        <v>1495</v>
      </c>
      <c r="C26" s="3" t="s">
        <v>1482</v>
      </c>
      <c r="D26">
        <v>2274</v>
      </c>
    </row>
    <row r="27" spans="1:4" x14ac:dyDescent="0.2">
      <c r="A27" s="3" t="s">
        <v>511</v>
      </c>
      <c r="B27" s="3" t="s">
        <v>1496</v>
      </c>
      <c r="C27" s="3" t="s">
        <v>8</v>
      </c>
      <c r="D27">
        <v>1108</v>
      </c>
    </row>
    <row r="28" spans="1:4" x14ac:dyDescent="0.2">
      <c r="A28" s="3" t="s">
        <v>857</v>
      </c>
      <c r="B28" s="3" t="s">
        <v>1497</v>
      </c>
      <c r="C28" s="3" t="s">
        <v>12</v>
      </c>
      <c r="D28">
        <v>3732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outlinePr summaryBelow="0" summaryRight="0"/>
  </sheetPr>
  <dimension ref="B10:I39"/>
  <sheetViews>
    <sheetView workbookViewId="0"/>
  </sheetViews>
  <sheetFormatPr baseColWidth="10" defaultColWidth="12.5703125" defaultRowHeight="15.75" customHeight="1" x14ac:dyDescent="0.2"/>
  <cols>
    <col min="2" max="2" width="13.140625" bestFit="1" customWidth="1"/>
    <col min="3" max="3" width="20.28515625" bestFit="1" customWidth="1"/>
    <col min="4" max="4" width="14.5703125" customWidth="1"/>
    <col min="5" max="5" width="13.140625" bestFit="1" customWidth="1"/>
    <col min="6" max="6" width="20.28515625" bestFit="1" customWidth="1"/>
    <col min="7" max="7" width="14.7109375" customWidth="1"/>
    <col min="8" max="8" width="17.85546875" bestFit="1" customWidth="1"/>
    <col min="9" max="9" width="20.28515625" bestFit="1" customWidth="1"/>
    <col min="10" max="12" width="7" bestFit="1" customWidth="1"/>
    <col min="13" max="13" width="8" bestFit="1" customWidth="1"/>
    <col min="14" max="14" width="10.42578125" bestFit="1" customWidth="1"/>
    <col min="15" max="15" width="7.5703125" bestFit="1" customWidth="1"/>
    <col min="16" max="16" width="9.5703125" bestFit="1" customWidth="1"/>
    <col min="17" max="17" width="9.28515625" bestFit="1" customWidth="1"/>
    <col min="18" max="18" width="11.5703125" bestFit="1" customWidth="1"/>
  </cols>
  <sheetData>
    <row r="10" spans="2:9" ht="15.75" customHeight="1" x14ac:dyDescent="0.2">
      <c r="B10" s="2" t="s">
        <v>2</v>
      </c>
      <c r="C10" t="s">
        <v>1515</v>
      </c>
      <c r="E10" s="2" t="s">
        <v>1517</v>
      </c>
      <c r="F10" t="s">
        <v>1515</v>
      </c>
      <c r="H10" s="2" t="s">
        <v>1518</v>
      </c>
      <c r="I10" t="s">
        <v>1516</v>
      </c>
    </row>
    <row r="11" spans="2:9" ht="15.75" customHeight="1" x14ac:dyDescent="0.2">
      <c r="B11" s="4" t="s">
        <v>10</v>
      </c>
      <c r="C11" s="27">
        <v>4109891</v>
      </c>
      <c r="E11" s="4" t="s">
        <v>12</v>
      </c>
      <c r="F11" s="27">
        <v>2346144</v>
      </c>
      <c r="H11" s="4" t="s">
        <v>52</v>
      </c>
      <c r="I11" s="28">
        <v>2344</v>
      </c>
    </row>
    <row r="12" spans="2:9" ht="15.75" customHeight="1" x14ac:dyDescent="0.2">
      <c r="B12" s="4" t="s">
        <v>7</v>
      </c>
      <c r="C12" s="27">
        <v>3194561</v>
      </c>
      <c r="E12" s="4" t="s">
        <v>14</v>
      </c>
      <c r="F12" s="27">
        <v>777480</v>
      </c>
      <c r="H12" s="4" t="s">
        <v>49</v>
      </c>
      <c r="I12" s="28">
        <v>2647</v>
      </c>
    </row>
    <row r="13" spans="2:9" ht="15.75" customHeight="1" x14ac:dyDescent="0.2">
      <c r="B13" s="4" t="s">
        <v>13</v>
      </c>
      <c r="C13" s="27">
        <v>3309960</v>
      </c>
      <c r="E13" s="4" t="s">
        <v>8</v>
      </c>
      <c r="F13" s="27">
        <v>1900024</v>
      </c>
      <c r="H13" s="4" t="s">
        <v>17</v>
      </c>
      <c r="I13" s="28">
        <v>4991</v>
      </c>
    </row>
    <row r="14" spans="2:9" ht="15.75" customHeight="1" x14ac:dyDescent="0.2">
      <c r="B14" s="4" t="s">
        <v>17</v>
      </c>
      <c r="C14" s="27">
        <v>10614412</v>
      </c>
      <c r="E14" s="4" t="s">
        <v>16</v>
      </c>
      <c r="F14" s="27">
        <v>3074264</v>
      </c>
    </row>
    <row r="15" spans="2:9" ht="15.75" customHeight="1" x14ac:dyDescent="0.2">
      <c r="E15" s="4" t="s">
        <v>1482</v>
      </c>
      <c r="F15" s="27">
        <v>2516500</v>
      </c>
    </row>
    <row r="16" spans="2:9" ht="15.75" customHeight="1" x14ac:dyDescent="0.2">
      <c r="E16" s="4" t="s">
        <v>17</v>
      </c>
      <c r="F16" s="27">
        <v>10614412</v>
      </c>
    </row>
    <row r="17" spans="2:9" ht="15.75" customHeight="1" x14ac:dyDescent="0.2">
      <c r="E17" s="7"/>
      <c r="F17" s="8"/>
    </row>
    <row r="19" spans="2:9" ht="15.75" customHeight="1" x14ac:dyDescent="0.2">
      <c r="B19" s="2" t="s">
        <v>19</v>
      </c>
      <c r="C19" t="s">
        <v>1516</v>
      </c>
      <c r="E19" s="2" t="s">
        <v>19</v>
      </c>
      <c r="F19" t="s">
        <v>1516</v>
      </c>
      <c r="H19" s="2" t="s">
        <v>19</v>
      </c>
      <c r="I19" t="s">
        <v>1515</v>
      </c>
    </row>
    <row r="20" spans="2:9" ht="15.75" customHeight="1" x14ac:dyDescent="0.2">
      <c r="B20" s="4" t="s">
        <v>10</v>
      </c>
      <c r="C20" s="28">
        <v>1790</v>
      </c>
      <c r="E20" s="4" t="s">
        <v>15</v>
      </c>
      <c r="F20" s="28">
        <v>989</v>
      </c>
      <c r="H20" s="4" t="s">
        <v>15</v>
      </c>
      <c r="I20" s="27">
        <v>2105231</v>
      </c>
    </row>
    <row r="21" spans="2:9" ht="15.75" customHeight="1" x14ac:dyDescent="0.2">
      <c r="B21" s="4" t="s">
        <v>7</v>
      </c>
      <c r="C21" s="3">
        <v>1539</v>
      </c>
      <c r="E21" s="4" t="s">
        <v>9</v>
      </c>
      <c r="F21" s="28">
        <v>2996</v>
      </c>
      <c r="H21" s="4" t="s">
        <v>9</v>
      </c>
      <c r="I21" s="27">
        <v>6388936</v>
      </c>
    </row>
    <row r="22" spans="2:9" ht="15.75" customHeight="1" x14ac:dyDescent="0.2">
      <c r="B22" s="4" t="s">
        <v>13</v>
      </c>
      <c r="C22" s="3">
        <v>1662</v>
      </c>
      <c r="E22" s="4" t="s">
        <v>11</v>
      </c>
      <c r="F22" s="28">
        <v>1006</v>
      </c>
      <c r="H22" s="4" t="s">
        <v>11</v>
      </c>
      <c r="I22" s="27">
        <v>2120245</v>
      </c>
    </row>
    <row r="23" spans="2:9" ht="15.75" customHeight="1" x14ac:dyDescent="0.2">
      <c r="B23" s="4" t="s">
        <v>17</v>
      </c>
      <c r="C23" s="3">
        <v>4991</v>
      </c>
      <c r="E23" s="4" t="s">
        <v>17</v>
      </c>
      <c r="F23" s="28">
        <v>4991</v>
      </c>
      <c r="H23" s="4" t="s">
        <v>17</v>
      </c>
      <c r="I23" s="27">
        <v>10614412</v>
      </c>
    </row>
    <row r="26" spans="2:9" ht="15.75" customHeight="1" x14ac:dyDescent="0.2">
      <c r="B26" s="2" t="s">
        <v>19</v>
      </c>
      <c r="C26" t="s">
        <v>1515</v>
      </c>
    </row>
    <row r="27" spans="2:9" ht="15.75" customHeight="1" x14ac:dyDescent="0.2">
      <c r="B27" s="4" t="s">
        <v>1506</v>
      </c>
      <c r="C27" s="27">
        <v>856283</v>
      </c>
    </row>
    <row r="28" spans="2:9" ht="15.75" customHeight="1" x14ac:dyDescent="0.2">
      <c r="B28" s="4" t="s">
        <v>1507</v>
      </c>
      <c r="C28" s="27">
        <v>930332</v>
      </c>
    </row>
    <row r="29" spans="2:9" ht="15.75" customHeight="1" x14ac:dyDescent="0.2">
      <c r="B29" s="4" t="s">
        <v>1510</v>
      </c>
      <c r="C29" s="27">
        <v>719875</v>
      </c>
    </row>
    <row r="30" spans="2:9" ht="15.75" customHeight="1" x14ac:dyDescent="0.2">
      <c r="B30" s="4" t="s">
        <v>1503</v>
      </c>
      <c r="C30" s="27">
        <v>978175</v>
      </c>
    </row>
    <row r="31" spans="2:9" ht="15.75" customHeight="1" x14ac:dyDescent="0.2">
      <c r="B31" s="4" t="s">
        <v>1511</v>
      </c>
      <c r="C31" s="27">
        <v>935618</v>
      </c>
    </row>
    <row r="32" spans="2:9" ht="15.75" customHeight="1" x14ac:dyDescent="0.2">
      <c r="B32" s="4" t="s">
        <v>1509</v>
      </c>
      <c r="C32" s="27">
        <v>927082</v>
      </c>
    </row>
    <row r="33" spans="2:3" ht="15.75" customHeight="1" x14ac:dyDescent="0.2">
      <c r="B33" s="4" t="s">
        <v>1508</v>
      </c>
      <c r="C33" s="27">
        <v>791084</v>
      </c>
    </row>
    <row r="34" spans="2:3" ht="15.75" customHeight="1" x14ac:dyDescent="0.2">
      <c r="B34" s="4" t="s">
        <v>1504</v>
      </c>
      <c r="C34" s="27">
        <v>1118137</v>
      </c>
    </row>
    <row r="35" spans="2:3" ht="15.75" customHeight="1" x14ac:dyDescent="0.2">
      <c r="B35" s="4" t="s">
        <v>1514</v>
      </c>
      <c r="C35" s="27">
        <v>875185</v>
      </c>
    </row>
    <row r="36" spans="2:3" ht="15.75" customHeight="1" x14ac:dyDescent="0.2">
      <c r="B36" s="4" t="s">
        <v>1513</v>
      </c>
      <c r="C36" s="27">
        <v>872363</v>
      </c>
    </row>
    <row r="37" spans="2:3" ht="15.75" customHeight="1" x14ac:dyDescent="0.2">
      <c r="B37" s="4" t="s">
        <v>1512</v>
      </c>
      <c r="C37" s="27">
        <v>752935</v>
      </c>
    </row>
    <row r="38" spans="2:3" ht="15.75" customHeight="1" x14ac:dyDescent="0.2">
      <c r="B38" s="4" t="s">
        <v>1505</v>
      </c>
      <c r="C38" s="27">
        <v>857343</v>
      </c>
    </row>
    <row r="39" spans="2:3" ht="15.75" customHeight="1" x14ac:dyDescent="0.2">
      <c r="B39" s="4" t="s">
        <v>17</v>
      </c>
      <c r="C39" s="27">
        <v>10614412</v>
      </c>
    </row>
  </sheetData>
  <pageMargins left="0.7" right="0.7" top="0.75" bottom="0.75" header="0.3" footer="0.3"/>
  <drawing r:id="rId8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34456-5F02-443A-8A7D-7C6847530B3B}">
  <sheetPr codeName="Hoja9"/>
  <dimension ref="B2:F62"/>
  <sheetViews>
    <sheetView topLeftCell="A16" workbookViewId="0">
      <selection activeCell="C9" sqref="C9"/>
    </sheetView>
  </sheetViews>
  <sheetFormatPr baseColWidth="10" defaultRowHeight="12.75" x14ac:dyDescent="0.2"/>
  <cols>
    <col min="2" max="2" width="16.5703125" bestFit="1" customWidth="1"/>
    <col min="3" max="4" width="11.85546875" bestFit="1" customWidth="1"/>
    <col min="6" max="6" width="12.28515625" bestFit="1" customWidth="1"/>
  </cols>
  <sheetData>
    <row r="2" spans="2:5" x14ac:dyDescent="0.2">
      <c r="B2" s="11" t="s">
        <v>2</v>
      </c>
      <c r="C2" s="12" t="s">
        <v>1519</v>
      </c>
      <c r="D2" s="12" t="s">
        <v>1520</v>
      </c>
      <c r="E2" s="11" t="s">
        <v>1521</v>
      </c>
    </row>
    <row r="3" spans="2:5" x14ac:dyDescent="0.2">
      <c r="B3" s="13" t="s">
        <v>10</v>
      </c>
      <c r="C3" s="14">
        <v>4109891</v>
      </c>
      <c r="D3" s="14">
        <v>4200000</v>
      </c>
      <c r="E3" s="15">
        <f>C3/D3</f>
        <v>0.97854547619047616</v>
      </c>
    </row>
    <row r="4" spans="2:5" x14ac:dyDescent="0.2">
      <c r="B4" s="13" t="s">
        <v>7</v>
      </c>
      <c r="C4" s="14">
        <v>3194561</v>
      </c>
      <c r="D4" s="14">
        <v>4200000</v>
      </c>
      <c r="E4" s="15">
        <f>C4/D4</f>
        <v>0.76060976190476193</v>
      </c>
    </row>
    <row r="5" spans="2:5" x14ac:dyDescent="0.2">
      <c r="B5" s="13" t="s">
        <v>13</v>
      </c>
      <c r="C5" s="14">
        <v>3309960</v>
      </c>
      <c r="D5" s="14">
        <v>4200000</v>
      </c>
      <c r="E5" s="15">
        <f>C5/D5</f>
        <v>0.78808571428571428</v>
      </c>
    </row>
    <row r="6" spans="2:5" x14ac:dyDescent="0.2">
      <c r="B6" s="16"/>
      <c r="C6" s="17"/>
      <c r="D6" s="17"/>
      <c r="E6" s="18"/>
    </row>
    <row r="7" spans="2:5" x14ac:dyDescent="0.2">
      <c r="B7" s="16"/>
      <c r="C7" s="17"/>
      <c r="D7" s="19">
        <v>0.2</v>
      </c>
      <c r="E7" s="18"/>
    </row>
    <row r="8" spans="2:5" x14ac:dyDescent="0.2">
      <c r="B8" s="12" t="s">
        <v>2</v>
      </c>
      <c r="C8" s="12" t="s">
        <v>1522</v>
      </c>
      <c r="D8" s="19">
        <v>0.2</v>
      </c>
      <c r="E8" s="18"/>
    </row>
    <row r="9" spans="2:5" x14ac:dyDescent="0.2">
      <c r="B9" s="13" t="s">
        <v>10</v>
      </c>
      <c r="C9" s="15">
        <f>VLOOKUP(B9,B2:E5,4,FALSE)</f>
        <v>0.97854547619047616</v>
      </c>
      <c r="D9" s="19">
        <v>0.2</v>
      </c>
      <c r="E9" s="18"/>
    </row>
    <row r="10" spans="2:5" x14ac:dyDescent="0.2">
      <c r="B10" s="16"/>
      <c r="C10" s="17"/>
      <c r="D10" s="19">
        <v>0.2</v>
      </c>
      <c r="E10" s="18"/>
    </row>
    <row r="11" spans="2:5" x14ac:dyDescent="0.2">
      <c r="B11" s="16"/>
      <c r="C11" s="17"/>
      <c r="D11" s="19">
        <v>0.2</v>
      </c>
      <c r="E11" s="18"/>
    </row>
    <row r="12" spans="2:5" x14ac:dyDescent="0.2">
      <c r="B12" s="20"/>
      <c r="C12" s="21"/>
      <c r="D12" s="21"/>
      <c r="E12" s="22"/>
    </row>
    <row r="14" spans="2:5" x14ac:dyDescent="0.2">
      <c r="B14" s="11" t="s">
        <v>2</v>
      </c>
      <c r="C14" s="12" t="s">
        <v>1519</v>
      </c>
      <c r="D14" s="12" t="s">
        <v>1520</v>
      </c>
      <c r="E14" s="11" t="s">
        <v>1521</v>
      </c>
    </row>
    <row r="15" spans="2:5" x14ac:dyDescent="0.2">
      <c r="B15" s="13" t="s">
        <v>10</v>
      </c>
      <c r="C15" s="14">
        <v>4109891</v>
      </c>
      <c r="D15" s="14">
        <v>4200000</v>
      </c>
      <c r="E15" s="15">
        <f>C15/D15</f>
        <v>0.97854547619047616</v>
      </c>
    </row>
    <row r="16" spans="2:5" x14ac:dyDescent="0.2">
      <c r="B16" s="13" t="s">
        <v>7</v>
      </c>
      <c r="C16" s="14">
        <v>3194561</v>
      </c>
      <c r="D16" s="14">
        <v>4200000</v>
      </c>
      <c r="E16" s="15">
        <f>C16/D16</f>
        <v>0.76060976190476193</v>
      </c>
    </row>
    <row r="17" spans="2:5" x14ac:dyDescent="0.2">
      <c r="B17" s="13" t="s">
        <v>13</v>
      </c>
      <c r="C17" s="14">
        <v>3309960</v>
      </c>
      <c r="D17" s="14">
        <v>4200000</v>
      </c>
      <c r="E17" s="15">
        <f>C17/D17</f>
        <v>0.78808571428571428</v>
      </c>
    </row>
    <row r="18" spans="2:5" x14ac:dyDescent="0.2">
      <c r="B18" s="16"/>
      <c r="C18" s="17"/>
      <c r="D18" s="17"/>
      <c r="E18" s="18"/>
    </row>
    <row r="19" spans="2:5" x14ac:dyDescent="0.2">
      <c r="B19" s="16"/>
      <c r="C19" s="17"/>
      <c r="D19" s="19">
        <v>0.2</v>
      </c>
      <c r="E19" s="18"/>
    </row>
    <row r="20" spans="2:5" x14ac:dyDescent="0.2">
      <c r="B20" s="12" t="s">
        <v>2</v>
      </c>
      <c r="C20" s="12" t="s">
        <v>1522</v>
      </c>
      <c r="D20" s="19">
        <v>0.2</v>
      </c>
      <c r="E20" s="18"/>
    </row>
    <row r="21" spans="2:5" x14ac:dyDescent="0.2">
      <c r="B21" s="13" t="s">
        <v>7</v>
      </c>
      <c r="C21" s="15">
        <f>VLOOKUP(B21,B14:E17,4,FALSE)</f>
        <v>0.76060976190476193</v>
      </c>
      <c r="D21" s="19">
        <v>0.2</v>
      </c>
      <c r="E21" s="18"/>
    </row>
    <row r="22" spans="2:5" x14ac:dyDescent="0.2">
      <c r="B22" s="16"/>
      <c r="C22" s="17"/>
      <c r="D22" s="19">
        <v>0.2</v>
      </c>
      <c r="E22" s="18"/>
    </row>
    <row r="23" spans="2:5" x14ac:dyDescent="0.2">
      <c r="B23" s="16"/>
      <c r="C23" s="17"/>
      <c r="D23" s="19">
        <v>0.2</v>
      </c>
      <c r="E23" s="18"/>
    </row>
    <row r="24" spans="2:5" x14ac:dyDescent="0.2">
      <c r="B24" s="20"/>
      <c r="C24" s="21"/>
      <c r="D24" s="21"/>
      <c r="E24" s="22"/>
    </row>
    <row r="26" spans="2:5" x14ac:dyDescent="0.2">
      <c r="B26" s="11" t="s">
        <v>2</v>
      </c>
      <c r="C26" s="12" t="s">
        <v>1519</v>
      </c>
      <c r="D26" s="12" t="s">
        <v>1520</v>
      </c>
      <c r="E26" s="11" t="s">
        <v>1521</v>
      </c>
    </row>
    <row r="27" spans="2:5" x14ac:dyDescent="0.2">
      <c r="B27" s="13" t="s">
        <v>10</v>
      </c>
      <c r="C27" s="14">
        <v>4109891</v>
      </c>
      <c r="D27" s="14">
        <v>4200000</v>
      </c>
      <c r="E27" s="15">
        <f>C27/D27</f>
        <v>0.97854547619047616</v>
      </c>
    </row>
    <row r="28" spans="2:5" x14ac:dyDescent="0.2">
      <c r="B28" s="13" t="s">
        <v>7</v>
      </c>
      <c r="C28" s="14">
        <v>3194561</v>
      </c>
      <c r="D28" s="14">
        <v>4200000</v>
      </c>
      <c r="E28" s="15">
        <f>C28/D28</f>
        <v>0.76060976190476193</v>
      </c>
    </row>
    <row r="29" spans="2:5" x14ac:dyDescent="0.2">
      <c r="B29" s="13" t="s">
        <v>13</v>
      </c>
      <c r="C29" s="14">
        <v>3309960</v>
      </c>
      <c r="D29" s="14">
        <v>4200000</v>
      </c>
      <c r="E29" s="15">
        <f>C29/D29</f>
        <v>0.78808571428571428</v>
      </c>
    </row>
    <row r="30" spans="2:5" x14ac:dyDescent="0.2">
      <c r="B30" s="16"/>
      <c r="C30" s="17"/>
      <c r="D30" s="17"/>
      <c r="E30" s="18"/>
    </row>
    <row r="31" spans="2:5" x14ac:dyDescent="0.2">
      <c r="B31" s="16"/>
      <c r="C31" s="17"/>
      <c r="D31" s="19">
        <v>0.2</v>
      </c>
      <c r="E31" s="18"/>
    </row>
    <row r="32" spans="2:5" x14ac:dyDescent="0.2">
      <c r="B32" s="12" t="s">
        <v>2</v>
      </c>
      <c r="C32" s="12" t="s">
        <v>1522</v>
      </c>
      <c r="D32" s="19">
        <v>0.2</v>
      </c>
      <c r="E32" s="18"/>
    </row>
    <row r="33" spans="2:6" x14ac:dyDescent="0.2">
      <c r="B33" s="13" t="s">
        <v>13</v>
      </c>
      <c r="C33" s="15">
        <f>VLOOKUP(B33,B26:E29,4,FALSE)</f>
        <v>0.78808571428571428</v>
      </c>
      <c r="D33" s="19">
        <v>0.2</v>
      </c>
      <c r="E33" s="18"/>
    </row>
    <row r="34" spans="2:6" x14ac:dyDescent="0.2">
      <c r="B34" s="16"/>
      <c r="C34" s="17"/>
      <c r="D34" s="19">
        <v>0.2</v>
      </c>
      <c r="E34" s="18"/>
    </row>
    <row r="35" spans="2:6" x14ac:dyDescent="0.2">
      <c r="B35" s="16"/>
      <c r="C35" s="17"/>
      <c r="D35" s="19">
        <v>0.2</v>
      </c>
      <c r="E35" s="18"/>
    </row>
    <row r="36" spans="2:6" x14ac:dyDescent="0.2">
      <c r="B36" s="20"/>
      <c r="C36" s="21"/>
      <c r="D36" s="21"/>
      <c r="E36" s="22"/>
    </row>
    <row r="39" spans="2:6" x14ac:dyDescent="0.2">
      <c r="B39" s="30" t="s">
        <v>1525</v>
      </c>
      <c r="C39" s="30" t="s">
        <v>1524</v>
      </c>
      <c r="E39" s="1" t="s">
        <v>3</v>
      </c>
      <c r="F39" s="1" t="s">
        <v>1523</v>
      </c>
    </row>
    <row r="40" spans="2:6" ht="51.75" customHeight="1" x14ac:dyDescent="0.2">
      <c r="B40" s="29" t="s">
        <v>12</v>
      </c>
      <c r="C40" s="29"/>
      <c r="E40" t="s">
        <v>14</v>
      </c>
    </row>
    <row r="41" spans="2:6" ht="51.75" customHeight="1" x14ac:dyDescent="0.2">
      <c r="B41" s="29" t="s">
        <v>14</v>
      </c>
      <c r="C41" s="29"/>
    </row>
    <row r="42" spans="2:6" ht="51.75" customHeight="1" x14ac:dyDescent="0.2">
      <c r="B42" s="29" t="s">
        <v>8</v>
      </c>
      <c r="C42" s="29"/>
    </row>
    <row r="43" spans="2:6" ht="51.75" customHeight="1" x14ac:dyDescent="0.2">
      <c r="B43" s="29" t="s">
        <v>16</v>
      </c>
      <c r="C43" s="29"/>
    </row>
    <row r="44" spans="2:6" ht="51.75" customHeight="1" x14ac:dyDescent="0.2">
      <c r="B44" s="29" t="s">
        <v>1482</v>
      </c>
      <c r="C44" s="29"/>
    </row>
    <row r="47" spans="2:6" x14ac:dyDescent="0.2">
      <c r="B47" s="23" t="s">
        <v>19</v>
      </c>
    </row>
    <row r="48" spans="2:6" x14ac:dyDescent="0.2">
      <c r="B48" s="24" t="s">
        <v>12</v>
      </c>
    </row>
    <row r="49" spans="2:6" x14ac:dyDescent="0.2">
      <c r="B49" s="25" t="s">
        <v>14</v>
      </c>
    </row>
    <row r="50" spans="2:6" x14ac:dyDescent="0.2">
      <c r="B50" s="25" t="s">
        <v>8</v>
      </c>
    </row>
    <row r="51" spans="2:6" x14ac:dyDescent="0.2">
      <c r="B51" s="25" t="s">
        <v>16</v>
      </c>
    </row>
    <row r="52" spans="2:6" x14ac:dyDescent="0.2">
      <c r="B52" s="25" t="s">
        <v>1482</v>
      </c>
    </row>
    <row r="53" spans="2:6" x14ac:dyDescent="0.2">
      <c r="B53" s="26" t="s">
        <v>17</v>
      </c>
    </row>
    <row r="62" spans="2:6" x14ac:dyDescent="0.2">
      <c r="F62" s="1"/>
    </row>
  </sheetData>
  <dataValidations count="2">
    <dataValidation type="list" allowBlank="1" showInputMessage="1" showErrorMessage="1" sqref="B9 B21 B33" xr:uid="{19CF6097-EF3A-46A6-93F9-0EFD20F8DB78}">
      <formula1>$B$3:$B$5</formula1>
    </dataValidation>
    <dataValidation type="list" allowBlank="1" showInputMessage="1" showErrorMessage="1" sqref="E40" xr:uid="{4DF7C957-0679-42DA-8065-789156294764}">
      <formula1>$B$40:$B$44</formula1>
    </dataValidation>
  </dataValidations>
  <pageMargins left="0.7" right="0.7" top="0.75" bottom="0.75" header="0.3" footer="0.3"/>
  <pageSetup orientation="portrait" r:id="rId2"/>
  <drawing r:id="rId3"/>
  <legacy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43E05-D6D6-4684-BCA4-EA2ABB84747B}">
  <sheetPr codeName="Hoja8"/>
  <dimension ref="B10:F39"/>
  <sheetViews>
    <sheetView topLeftCell="A19" workbookViewId="0">
      <selection activeCell="B26" sqref="B26:C26"/>
    </sheetView>
  </sheetViews>
  <sheetFormatPr baseColWidth="10" defaultRowHeight="12.75" x14ac:dyDescent="0.2"/>
  <cols>
    <col min="1" max="1" width="4.140625" customWidth="1"/>
    <col min="2" max="2" width="16.5703125" customWidth="1"/>
    <col min="3" max="3" width="19.28515625" customWidth="1"/>
    <col min="4" max="4" width="16.5703125" customWidth="1"/>
    <col min="5" max="5" width="19.140625" customWidth="1"/>
    <col min="6" max="6" width="16.5703125" customWidth="1"/>
  </cols>
  <sheetData>
    <row r="10" spans="2:6" ht="47.25" x14ac:dyDescent="0.2">
      <c r="B10" s="41" t="s">
        <v>18</v>
      </c>
      <c r="C10" s="41" t="s">
        <v>1544</v>
      </c>
      <c r="D10" s="42" t="s">
        <v>1542</v>
      </c>
      <c r="E10" s="41" t="s">
        <v>1545</v>
      </c>
      <c r="F10" s="42" t="s">
        <v>1543</v>
      </c>
    </row>
    <row r="11" spans="2:6" x14ac:dyDescent="0.2">
      <c r="B11" s="29" t="s">
        <v>1506</v>
      </c>
      <c r="C11" s="38">
        <v>856283</v>
      </c>
      <c r="D11" s="38">
        <v>856283</v>
      </c>
      <c r="E11" s="39">
        <v>8.0671731981008465E-2</v>
      </c>
      <c r="F11" s="39">
        <v>8.0671731981008465E-2</v>
      </c>
    </row>
    <row r="12" spans="2:6" x14ac:dyDescent="0.2">
      <c r="B12" s="29" t="s">
        <v>1507</v>
      </c>
      <c r="C12" s="38">
        <v>930332</v>
      </c>
      <c r="D12" s="38">
        <v>1786615</v>
      </c>
      <c r="E12" s="39">
        <v>8.7648001603857092E-2</v>
      </c>
      <c r="F12" s="39">
        <v>0.16831973358486557</v>
      </c>
    </row>
    <row r="13" spans="2:6" x14ac:dyDescent="0.2">
      <c r="B13" s="29" t="s">
        <v>1510</v>
      </c>
      <c r="C13" s="38">
        <v>719875</v>
      </c>
      <c r="D13" s="38">
        <v>2506490</v>
      </c>
      <c r="E13" s="39">
        <v>6.7820525526991041E-2</v>
      </c>
      <c r="F13" s="39">
        <v>0.2361402591118566</v>
      </c>
    </row>
    <row r="14" spans="2:6" x14ac:dyDescent="0.2">
      <c r="B14" s="29" t="s">
        <v>1503</v>
      </c>
      <c r="C14" s="38">
        <v>978175</v>
      </c>
      <c r="D14" s="38">
        <v>3484665</v>
      </c>
      <c r="E14" s="39">
        <v>9.2155363858120454E-2</v>
      </c>
      <c r="F14" s="39">
        <v>0.32829562296997705</v>
      </c>
    </row>
    <row r="15" spans="2:6" x14ac:dyDescent="0.2">
      <c r="B15" s="29" t="s">
        <v>1511</v>
      </c>
      <c r="C15" s="38">
        <v>935618</v>
      </c>
      <c r="D15" s="38">
        <v>4420283</v>
      </c>
      <c r="E15" s="39">
        <v>8.814600375414107E-2</v>
      </c>
      <c r="F15" s="39">
        <v>0.41644162672411811</v>
      </c>
    </row>
    <row r="16" spans="2:6" x14ac:dyDescent="0.2">
      <c r="B16" s="29" t="s">
        <v>1509</v>
      </c>
      <c r="C16" s="38">
        <v>927082</v>
      </c>
      <c r="D16" s="38">
        <v>5347365</v>
      </c>
      <c r="E16" s="39">
        <v>8.7341814129694606E-2</v>
      </c>
      <c r="F16" s="39">
        <v>0.50378344085381277</v>
      </c>
    </row>
    <row r="17" spans="2:6" x14ac:dyDescent="0.2">
      <c r="B17" s="29" t="s">
        <v>1508</v>
      </c>
      <c r="C17" s="38">
        <v>791084</v>
      </c>
      <c r="D17" s="38">
        <v>6138449</v>
      </c>
      <c r="E17" s="39">
        <v>7.4529234403186914E-2</v>
      </c>
      <c r="F17" s="39">
        <v>0.57831267525699959</v>
      </c>
    </row>
    <row r="18" spans="2:6" x14ac:dyDescent="0.2">
      <c r="B18" s="29" t="s">
        <v>1504</v>
      </c>
      <c r="C18" s="38">
        <v>1118137</v>
      </c>
      <c r="D18" s="38">
        <v>7256586</v>
      </c>
      <c r="E18" s="39">
        <v>0.10534139809157587</v>
      </c>
      <c r="F18" s="39">
        <v>0.68365407334857553</v>
      </c>
    </row>
    <row r="19" spans="2:6" x14ac:dyDescent="0.2">
      <c r="B19" s="29" t="s">
        <v>1514</v>
      </c>
      <c r="C19" s="38">
        <v>875185</v>
      </c>
      <c r="D19" s="38">
        <v>8131771</v>
      </c>
      <c r="E19" s="39">
        <v>8.2452518330737495E-2</v>
      </c>
      <c r="F19" s="39">
        <v>0.76610659167931294</v>
      </c>
    </row>
    <row r="20" spans="2:6" x14ac:dyDescent="0.2">
      <c r="B20" s="29" t="s">
        <v>1513</v>
      </c>
      <c r="C20" s="38">
        <v>872363</v>
      </c>
      <c r="D20" s="38">
        <v>9004134</v>
      </c>
      <c r="E20" s="39">
        <v>8.2186653391633946E-2</v>
      </c>
      <c r="F20" s="39">
        <v>0.84829324507094694</v>
      </c>
    </row>
    <row r="21" spans="2:6" x14ac:dyDescent="0.2">
      <c r="B21" s="29" t="s">
        <v>1512</v>
      </c>
      <c r="C21" s="38">
        <v>752935</v>
      </c>
      <c r="D21" s="38">
        <v>9757069</v>
      </c>
      <c r="E21" s="39">
        <v>7.0935158725702371E-2</v>
      </c>
      <c r="F21" s="39">
        <v>0.91922840379664927</v>
      </c>
    </row>
    <row r="22" spans="2:6" x14ac:dyDescent="0.2">
      <c r="B22" s="29" t="s">
        <v>1505</v>
      </c>
      <c r="C22" s="38">
        <v>857343</v>
      </c>
      <c r="D22" s="38">
        <v>10614412</v>
      </c>
      <c r="E22" s="39">
        <v>8.0771596203350685E-2</v>
      </c>
      <c r="F22" s="39">
        <v>1</v>
      </c>
    </row>
    <row r="23" spans="2:6" x14ac:dyDescent="0.2">
      <c r="B23" s="40" t="s">
        <v>17</v>
      </c>
      <c r="C23" s="38">
        <v>10614412</v>
      </c>
      <c r="D23" s="38"/>
      <c r="E23" s="39">
        <v>1</v>
      </c>
      <c r="F23" s="39"/>
    </row>
    <row r="26" spans="2:6" ht="15.75" x14ac:dyDescent="0.25">
      <c r="B26" s="43" t="s">
        <v>1539</v>
      </c>
      <c r="C26" s="44"/>
      <c r="E26" s="43" t="s">
        <v>1540</v>
      </c>
      <c r="F26" s="44"/>
    </row>
    <row r="27" spans="2:6" x14ac:dyDescent="0.2">
      <c r="B27" s="35" t="s">
        <v>1526</v>
      </c>
      <c r="C27" s="36">
        <v>10614.412</v>
      </c>
      <c r="E27" s="35" t="s">
        <v>1526</v>
      </c>
      <c r="F27" s="36">
        <v>4.9909999999999997</v>
      </c>
    </row>
    <row r="28" spans="2:6" x14ac:dyDescent="0.2">
      <c r="B28" s="35" t="s">
        <v>1527</v>
      </c>
      <c r="C28" s="37">
        <v>340.99364025293636</v>
      </c>
      <c r="E28" s="35" t="s">
        <v>1527</v>
      </c>
      <c r="F28" s="36">
        <v>8.2095424103044018E-2</v>
      </c>
    </row>
    <row r="29" spans="2:6" x14ac:dyDescent="0.2">
      <c r="B29" s="35" t="s">
        <v>1528</v>
      </c>
      <c r="C29" s="37">
        <v>6648</v>
      </c>
      <c r="E29" s="35" t="s">
        <v>1528</v>
      </c>
      <c r="F29" s="36">
        <v>5</v>
      </c>
    </row>
    <row r="30" spans="2:6" x14ac:dyDescent="0.2">
      <c r="B30" s="35" t="s">
        <v>1529</v>
      </c>
      <c r="C30" s="37">
        <v>14094</v>
      </c>
      <c r="E30" s="35" t="s">
        <v>1529</v>
      </c>
      <c r="F30" s="36">
        <v>1</v>
      </c>
    </row>
    <row r="31" spans="2:6" x14ac:dyDescent="0.2">
      <c r="B31" s="35" t="s">
        <v>1530</v>
      </c>
      <c r="C31" s="36">
        <v>10783.165708313536</v>
      </c>
      <c r="E31" s="35" t="s">
        <v>1530</v>
      </c>
      <c r="F31" s="36">
        <v>2.5960852564310479</v>
      </c>
    </row>
    <row r="32" spans="2:6" x14ac:dyDescent="0.2">
      <c r="B32" s="35" t="s">
        <v>1531</v>
      </c>
      <c r="C32" s="36">
        <v>116276662.69294895</v>
      </c>
      <c r="E32" s="35" t="s">
        <v>1531</v>
      </c>
      <c r="F32" s="36">
        <v>6.7396586586586604</v>
      </c>
    </row>
    <row r="33" spans="2:6" x14ac:dyDescent="0.2">
      <c r="B33" s="35" t="s">
        <v>1532</v>
      </c>
      <c r="C33" s="36">
        <v>-0.35535005593881364</v>
      </c>
      <c r="E33" s="35" t="s">
        <v>1532</v>
      </c>
      <c r="F33" s="36">
        <v>-1.2341595536741052</v>
      </c>
    </row>
    <row r="34" spans="2:6" x14ac:dyDescent="0.2">
      <c r="B34" s="35" t="s">
        <v>1533</v>
      </c>
      <c r="C34" s="36">
        <v>0.91853228989160562</v>
      </c>
      <c r="E34" s="35" t="s">
        <v>1533</v>
      </c>
      <c r="F34" s="36">
        <v>-2.6553726281872379E-2</v>
      </c>
    </row>
    <row r="35" spans="2:6" x14ac:dyDescent="0.2">
      <c r="B35" s="35" t="s">
        <v>1534</v>
      </c>
      <c r="C35" s="37">
        <v>39453</v>
      </c>
      <c r="E35" s="35" t="s">
        <v>1534</v>
      </c>
      <c r="F35" s="36">
        <v>8</v>
      </c>
    </row>
    <row r="36" spans="2:6" x14ac:dyDescent="0.2">
      <c r="B36" s="35" t="s">
        <v>1535</v>
      </c>
      <c r="C36" s="37">
        <v>75</v>
      </c>
      <c r="E36" s="35" t="s">
        <v>1535</v>
      </c>
      <c r="F36" s="36">
        <v>1</v>
      </c>
    </row>
    <row r="37" spans="2:6" x14ac:dyDescent="0.2">
      <c r="B37" s="35" t="s">
        <v>1536</v>
      </c>
      <c r="C37" s="37">
        <v>39528</v>
      </c>
      <c r="E37" s="35" t="s">
        <v>1536</v>
      </c>
      <c r="F37" s="36">
        <v>9</v>
      </c>
    </row>
    <row r="38" spans="2:6" x14ac:dyDescent="0.2">
      <c r="B38" s="35" t="s">
        <v>1537</v>
      </c>
      <c r="C38" s="37">
        <v>10614412</v>
      </c>
      <c r="E38" s="35" t="s">
        <v>1537</v>
      </c>
      <c r="F38" s="37">
        <v>4991</v>
      </c>
    </row>
    <row r="39" spans="2:6" x14ac:dyDescent="0.2">
      <c r="B39" s="35" t="s">
        <v>1538</v>
      </c>
      <c r="C39" s="37">
        <v>1000</v>
      </c>
      <c r="E39" s="35" t="s">
        <v>1538</v>
      </c>
      <c r="F39" s="37">
        <v>1000</v>
      </c>
    </row>
  </sheetData>
  <mergeCells count="2">
    <mergeCell ref="B26:C26"/>
    <mergeCell ref="E26:F26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0">
    <outlinePr summaryBelow="0" summaryRight="0"/>
  </sheetPr>
  <dimension ref="A5:M63"/>
  <sheetViews>
    <sheetView showGridLines="0" zoomScale="60" zoomScaleNormal="60" workbookViewId="0">
      <selection activeCell="C17" sqref="C17:D17"/>
    </sheetView>
  </sheetViews>
  <sheetFormatPr baseColWidth="10" defaultColWidth="12.5703125" defaultRowHeight="15.75" customHeight="1" x14ac:dyDescent="0.2"/>
  <cols>
    <col min="1" max="1" width="4.5703125" style="31" customWidth="1"/>
    <col min="2" max="16384" width="12.5703125" style="31"/>
  </cols>
  <sheetData>
    <row r="5" spans="1:13" ht="12.75" x14ac:dyDescent="0.2"/>
    <row r="12" spans="1:13" ht="15.75" customHeight="1" x14ac:dyDescent="0.2">
      <c r="D12" s="32"/>
    </row>
    <row r="13" spans="1:13" ht="15.75" customHeight="1" x14ac:dyDescent="0.2">
      <c r="B13" s="54" t="s">
        <v>2</v>
      </c>
      <c r="C13" s="55">
        <f>VLOOKUP(B14,'Tablas dinámicas'!B10:C14,2,FALSE)</f>
        <v>4109891</v>
      </c>
      <c r="D13" s="55"/>
    </row>
    <row r="14" spans="1:13" ht="15.75" customHeight="1" x14ac:dyDescent="0.2">
      <c r="A14" s="33">
        <v>1</v>
      </c>
      <c r="B14" s="54" t="str" cm="1">
        <f t="array" ref="B14">_xlfn.IFS(A14=1,"Centro",A14=2,"Norte",A14=3,"Sur")</f>
        <v>Centro</v>
      </c>
      <c r="C14" s="55"/>
      <c r="D14" s="55"/>
    </row>
    <row r="15" spans="1:13" ht="15.75" customHeight="1" x14ac:dyDescent="0.2">
      <c r="L15" s="46" t="str">
        <f>KPI!$B$48</f>
        <v>Abarrotes</v>
      </c>
      <c r="M15" s="47"/>
    </row>
    <row r="16" spans="1:13" ht="15.75" customHeight="1" x14ac:dyDescent="0.2">
      <c r="B16" s="34" t="s">
        <v>22</v>
      </c>
      <c r="C16" s="56" t="s">
        <v>1541</v>
      </c>
      <c r="D16" s="57"/>
      <c r="L16" s="48"/>
      <c r="M16" s="49"/>
    </row>
    <row r="17" spans="2:13" ht="15.75" customHeight="1" x14ac:dyDescent="0.2">
      <c r="B17" s="34">
        <v>1</v>
      </c>
      <c r="C17" s="50">
        <v>2506490</v>
      </c>
      <c r="D17" s="51"/>
      <c r="L17" s="45"/>
      <c r="M17" s="45"/>
    </row>
    <row r="18" spans="2:13" ht="15.75" customHeight="1" x14ac:dyDescent="0.2">
      <c r="B18" s="34">
        <v>2</v>
      </c>
      <c r="C18" s="50">
        <v>2840875</v>
      </c>
      <c r="D18" s="51"/>
      <c r="L18" s="45"/>
      <c r="M18" s="45"/>
    </row>
    <row r="19" spans="2:13" ht="15.75" customHeight="1" x14ac:dyDescent="0.2">
      <c r="B19" s="34">
        <v>3</v>
      </c>
      <c r="C19" s="50">
        <v>2784406</v>
      </c>
      <c r="D19" s="51"/>
      <c r="L19" s="45"/>
      <c r="M19" s="45"/>
    </row>
    <row r="20" spans="2:13" ht="15.75" customHeight="1" x14ac:dyDescent="0.2">
      <c r="B20" s="34">
        <v>4</v>
      </c>
      <c r="C20" s="50">
        <v>2482641</v>
      </c>
      <c r="D20" s="51"/>
      <c r="L20" s="45"/>
      <c r="M20" s="45"/>
    </row>
    <row r="21" spans="2:13" ht="15.75" customHeight="1" x14ac:dyDescent="0.2">
      <c r="L21" s="45"/>
      <c r="M21" s="45"/>
    </row>
    <row r="37" s="31" customFormat="1" ht="12.75" x14ac:dyDescent="0.2"/>
    <row r="38" s="31" customFormat="1" ht="12.75" x14ac:dyDescent="0.2"/>
    <row r="39" s="31" customFormat="1" ht="12.75" x14ac:dyDescent="0.2"/>
    <row r="40" s="31" customFormat="1" ht="12.75" x14ac:dyDescent="0.2"/>
    <row r="41" s="31" customFormat="1" ht="12.75" x14ac:dyDescent="0.2"/>
    <row r="63" spans="10:10" ht="15.75" customHeight="1" x14ac:dyDescent="0.2">
      <c r="J63" s="31">
        <v>2</v>
      </c>
    </row>
  </sheetData>
  <mergeCells count="8">
    <mergeCell ref="L17:M21"/>
    <mergeCell ref="L15:M16"/>
    <mergeCell ref="C16:D16"/>
    <mergeCell ref="C13:D14"/>
    <mergeCell ref="C17:D17"/>
    <mergeCell ref="C18:D18"/>
    <mergeCell ref="C19:D19"/>
    <mergeCell ref="C20:D20"/>
  </mergeCells>
  <conditionalFormatting sqref="C17:C20">
    <cfRule type="iconSet" priority="4">
      <iconSet iconSet="3Arrows">
        <cfvo type="percent" val="0"/>
        <cfvo type="num" val="2500000"/>
        <cfvo type="num" val="2600000" gte="0"/>
      </iconSet>
    </cfRule>
  </conditionalFormatting>
  <conditionalFormatting sqref="Q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L15" xr:uid="{6961D9FD-D92D-43DC-8958-3587E94988AF}">
      <formula1>cat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2" r:id="rId4" name="Option Button 30">
              <controlPr defaultSize="0" autoFill="0" autoLine="0" autoPict="0">
                <anchor moveWithCells="1">
                  <from>
                    <xdr:col>1</xdr:col>
                    <xdr:colOff>142875</xdr:colOff>
                    <xdr:row>10</xdr:row>
                    <xdr:rowOff>123825</xdr:rowOff>
                  </from>
                  <to>
                    <xdr:col>1</xdr:col>
                    <xdr:colOff>723900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5" name="Option Button 31">
              <controlPr defaultSize="0" autoFill="0" autoLine="0" autoPict="0">
                <anchor moveWithCells="1">
                  <from>
                    <xdr:col>2</xdr:col>
                    <xdr:colOff>171450</xdr:colOff>
                    <xdr:row>10</xdr:row>
                    <xdr:rowOff>123825</xdr:rowOff>
                  </from>
                  <to>
                    <xdr:col>2</xdr:col>
                    <xdr:colOff>714375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6" name="Option Button 32">
              <controlPr defaultSize="0" autoFill="0" autoLine="0" autoPict="0">
                <anchor moveWithCells="1">
                  <from>
                    <xdr:col>3</xdr:col>
                    <xdr:colOff>133350</xdr:colOff>
                    <xdr:row>10</xdr:row>
                    <xdr:rowOff>114300</xdr:rowOff>
                  </from>
                  <to>
                    <xdr:col>3</xdr:col>
                    <xdr:colOff>695325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7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CA15FBD1-A88A-467F-A217-F4FE55174605}">
  <ds:schemaRefs/>
</ds:datastoreItem>
</file>

<file path=customXml/itemProps2.xml><?xml version="1.0" encoding="utf-8"?>
<ds:datastoreItem xmlns:ds="http://schemas.openxmlformats.org/officeDocument/2006/customXml" ds:itemID="{A034DA3E-7E51-4176-B570-CF142C7C1A1E}">
  <ds:schemaRefs/>
</ds:datastoreItem>
</file>

<file path=customXml/itemProps3.xml><?xml version="1.0" encoding="utf-8"?>
<ds:datastoreItem xmlns:ds="http://schemas.openxmlformats.org/officeDocument/2006/customXml" ds:itemID="{3A7BFE56-6491-40CA-8102-2DE14F2FA90F}">
  <ds:schemaRefs/>
</ds:datastoreItem>
</file>

<file path=customXml/itemProps4.xml><?xml version="1.0" encoding="utf-8"?>
<ds:datastoreItem xmlns:ds="http://schemas.openxmlformats.org/officeDocument/2006/customXml" ds:itemID="{3EDC269F-FE87-4BA2-9D4C-56CC0203AB9B}">
  <ds:schemaRefs/>
</ds:datastoreItem>
</file>

<file path=customXml/itemProps5.xml><?xml version="1.0" encoding="utf-8"?>
<ds:datastoreItem xmlns:ds="http://schemas.openxmlformats.org/officeDocument/2006/customXml" ds:itemID="{C8592C4B-68F9-4730-9EE6-EAC6ACFAB572}">
  <ds:schemaRefs/>
</ds:datastoreItem>
</file>

<file path=customXml/itemProps6.xml><?xml version="1.0" encoding="utf-8"?>
<ds:datastoreItem xmlns:ds="http://schemas.openxmlformats.org/officeDocument/2006/customXml" ds:itemID="{BF4AD9A5-7AA8-4465-9262-EF5CF3A98943}">
  <ds:schemaRefs>
    <ds:schemaRef ds:uri="http://schemas.microsoft.com/DataMashup"/>
  </ds:schemaRefs>
</ds:datastoreItem>
</file>

<file path=customXml/itemProps7.xml><?xml version="1.0" encoding="utf-8"?>
<ds:datastoreItem xmlns:ds="http://schemas.openxmlformats.org/officeDocument/2006/customXml" ds:itemID="{355C41E2-B937-45B9-8AE5-2DDD0B1D2086}">
  <ds:schemaRefs/>
</ds:datastoreItem>
</file>

<file path=customXml/itemProps8.xml><?xml version="1.0" encoding="utf-8"?>
<ds:datastoreItem xmlns:ds="http://schemas.openxmlformats.org/officeDocument/2006/customXml" ds:itemID="{4FE99628-D793-45AC-8889-324593D36EBF}">
  <ds:schemaRefs/>
</ds:datastoreItem>
</file>

<file path=customXml/itemProps9.xml><?xml version="1.0" encoding="utf-8"?>
<ds:datastoreItem xmlns:ds="http://schemas.openxmlformats.org/officeDocument/2006/customXml" ds:itemID="{374D6F8A-FC66-48D6-B55C-98AD50F9A954}">
  <ds:schemaRefs/>
</ds:datastoreItem>
</file>

<file path=customXml/itemProps10.xml><?xml version="1.0" encoding="utf-8"?>
<ds:datastoreItem xmlns:ds="http://schemas.openxmlformats.org/officeDocument/2006/customXml" ds:itemID="{AB25E1D9-FD11-4D7D-8999-86B8C307F636}">
  <ds:schemaRefs/>
</ds:datastoreItem>
</file>

<file path=customXml/itemProps11.xml><?xml version="1.0" encoding="utf-8"?>
<ds:datastoreItem xmlns:ds="http://schemas.openxmlformats.org/officeDocument/2006/customXml" ds:itemID="{14B76610-C985-4675-8225-5105FC3D65A2}">
  <ds:schemaRefs/>
</ds:datastoreItem>
</file>

<file path=customXml/itemProps12.xml><?xml version="1.0" encoding="utf-8"?>
<ds:datastoreItem xmlns:ds="http://schemas.openxmlformats.org/officeDocument/2006/customXml" ds:itemID="{EEE37494-2C0A-4E9D-90E0-2903D0440C81}">
  <ds:schemaRefs/>
</ds:datastoreItem>
</file>

<file path=customXml/itemProps13.xml><?xml version="1.0" encoding="utf-8"?>
<ds:datastoreItem xmlns:ds="http://schemas.openxmlformats.org/officeDocument/2006/customXml" ds:itemID="{C0DC800F-4B35-4CB8-9BFD-25D9186A40FD}">
  <ds:schemaRefs/>
</ds:datastoreItem>
</file>

<file path=customXml/itemProps14.xml><?xml version="1.0" encoding="utf-8"?>
<ds:datastoreItem xmlns:ds="http://schemas.openxmlformats.org/officeDocument/2006/customXml" ds:itemID="{8D434A05-FC5D-4FD6-9984-39DD393978BD}">
  <ds:schemaRefs/>
</ds:datastoreItem>
</file>

<file path=customXml/itemProps15.xml><?xml version="1.0" encoding="utf-8"?>
<ds:datastoreItem xmlns:ds="http://schemas.openxmlformats.org/officeDocument/2006/customXml" ds:itemID="{414CE83D-468A-4C05-8B57-E0DB4B108D51}">
  <ds:schemaRefs/>
</ds:datastoreItem>
</file>

<file path=customXml/itemProps16.xml><?xml version="1.0" encoding="utf-8"?>
<ds:datastoreItem xmlns:ds="http://schemas.openxmlformats.org/officeDocument/2006/customXml" ds:itemID="{1867A9DF-3B4C-4739-8D84-0C9CDD2B6D15}">
  <ds:schemaRefs/>
</ds:datastoreItem>
</file>

<file path=customXml/itemProps17.xml><?xml version="1.0" encoding="utf-8"?>
<ds:datastoreItem xmlns:ds="http://schemas.openxmlformats.org/officeDocument/2006/customXml" ds:itemID="{D7BEE610-F8C7-4A82-9D7D-B50E74C69C67}">
  <ds:schemaRefs/>
</ds:datastoreItem>
</file>

<file path=customXml/itemProps18.xml><?xml version="1.0" encoding="utf-8"?>
<ds:datastoreItem xmlns:ds="http://schemas.openxmlformats.org/officeDocument/2006/customXml" ds:itemID="{6CC2867F-C2F4-40F1-9449-16FCC98F0631}">
  <ds:schemaRefs/>
</ds:datastoreItem>
</file>

<file path=customXml/itemProps19.xml><?xml version="1.0" encoding="utf-8"?>
<ds:datastoreItem xmlns:ds="http://schemas.openxmlformats.org/officeDocument/2006/customXml" ds:itemID="{0936AFD3-C007-4661-B1E4-7DC63DC7EBE2}">
  <ds:schemaRefs/>
</ds:datastoreItem>
</file>

<file path=customXml/itemProps20.xml><?xml version="1.0" encoding="utf-8"?>
<ds:datastoreItem xmlns:ds="http://schemas.openxmlformats.org/officeDocument/2006/customXml" ds:itemID="{44D62525-4F01-49FC-B19E-343052E443A6}">
  <ds:schemaRefs/>
</ds:datastoreItem>
</file>

<file path=customXml/itemProps21.xml><?xml version="1.0" encoding="utf-8"?>
<ds:datastoreItem xmlns:ds="http://schemas.openxmlformats.org/officeDocument/2006/customXml" ds:itemID="{2785D31F-D2E9-40BD-AC50-A18C6C0E4A1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10</vt:i4>
      </vt:variant>
    </vt:vector>
  </HeadingPairs>
  <TitlesOfParts>
    <vt:vector size="20" baseType="lpstr">
      <vt:lpstr>Inicio</vt:lpstr>
      <vt:lpstr>Calendario</vt:lpstr>
      <vt:lpstr>Clientes</vt:lpstr>
      <vt:lpstr>Ventas</vt:lpstr>
      <vt:lpstr>Sucursales</vt:lpstr>
      <vt:lpstr>Productos</vt:lpstr>
      <vt:lpstr>Tablas dinámicas</vt:lpstr>
      <vt:lpstr>KPI</vt:lpstr>
      <vt:lpstr>Reporte Estadictico</vt:lpstr>
      <vt:lpstr>Dashboard</vt:lpstr>
      <vt:lpstr>Abarrotes</vt:lpstr>
      <vt:lpstr>Bebidas</vt:lpstr>
      <vt:lpstr>Carnes</vt:lpstr>
      <vt:lpstr>cat</vt:lpstr>
      <vt:lpstr>categorias</vt:lpstr>
      <vt:lpstr>Categorías</vt:lpstr>
      <vt:lpstr>imcateg</vt:lpstr>
      <vt:lpstr>img</vt:lpstr>
      <vt:lpstr>Lácteos</vt:lpstr>
      <vt:lpstr>Limpieza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LIZETH KATHERINE BUSTOS ESPINOSA</cp:lastModifiedBy>
  <cp:lastPrinted>2025-05-13T01:19:22Z</cp:lastPrinted>
  <dcterms:created xsi:type="dcterms:W3CDTF">2025-05-07T23:52:41Z</dcterms:created>
  <dcterms:modified xsi:type="dcterms:W3CDTF">2025-05-13T01:30:25Z</dcterms:modified>
</cp:coreProperties>
</file>